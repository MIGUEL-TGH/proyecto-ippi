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Presupuestos\"/>
    </mc:Choice>
  </mc:AlternateContent>
  <xr:revisionPtr revIDLastSave="0" documentId="13_ncr:1_{DDD26E66-9623-4877-B949-1E01FC6DC3B3}" xr6:coauthVersionLast="47" xr6:coauthVersionMax="47" xr10:uidLastSave="{00000000-0000-0000-0000-000000000000}"/>
  <bookViews>
    <workbookView xWindow="-120" yWindow="-120" windowWidth="29040" windowHeight="15840" xr2:uid="{3B2412E4-D0CB-4FFA-9D79-3FC8DE82B70F}"/>
  </bookViews>
  <sheets>
    <sheet name="FORMATO PRESUPUESTO GRAL" sheetId="1" r:id="rId1"/>
    <sheet name="GASTOS" sheetId="2" r:id="rId2"/>
  </sheets>
  <definedNames>
    <definedName name="_xlnm._FilterDatabase" localSheetId="0" hidden="1">'FORMATO PRESUPUESTO GRAL'!$A$3:$AO$12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2" l="1"/>
  <c r="G2" i="2"/>
  <c r="F2" i="2"/>
  <c r="E2" i="2"/>
  <c r="D2" i="2"/>
  <c r="C2" i="2"/>
  <c r="I2" i="2" l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N9" i="1"/>
  <c r="H1" i="2" s="1"/>
  <c r="H3" i="2" s="1"/>
  <c r="W9" i="1"/>
  <c r="U9" i="1"/>
  <c r="G9" i="1"/>
  <c r="F9" i="1"/>
  <c r="AN8" i="1"/>
  <c r="G1" i="2" s="1"/>
  <c r="G3" i="2" s="1"/>
  <c r="AN7" i="1"/>
  <c r="F1" i="2" s="1"/>
  <c r="F3" i="2" s="1"/>
  <c r="W7" i="1"/>
  <c r="U7" i="1"/>
  <c r="G7" i="1"/>
  <c r="F7" i="1"/>
  <c r="AN6" i="1"/>
  <c r="E1" i="2" s="1"/>
  <c r="E3" i="2" s="1"/>
  <c r="W6" i="1"/>
  <c r="U6" i="1"/>
  <c r="AN5" i="1"/>
  <c r="D1" i="2" s="1"/>
  <c r="D3" i="2" s="1"/>
  <c r="W5" i="1"/>
  <c r="U5" i="1"/>
  <c r="G5" i="1"/>
  <c r="F5" i="1"/>
  <c r="AN4" i="1"/>
  <c r="C1" i="2" s="1"/>
  <c r="W4" i="1"/>
  <c r="U4" i="1"/>
  <c r="G4" i="1"/>
  <c r="F4" i="1"/>
  <c r="I1" i="2" l="1"/>
  <c r="C3" i="2"/>
  <c r="I3" i="2" s="1"/>
  <c r="AN10" i="1"/>
  <c r="Z5" i="1"/>
  <c r="Z6" i="1"/>
  <c r="Z9" i="1"/>
  <c r="Z4" i="1"/>
  <c r="Z7" i="1"/>
</calcChain>
</file>

<file path=xl/sharedStrings.xml><?xml version="1.0" encoding="utf-8"?>
<sst xmlns="http://schemas.openxmlformats.org/spreadsheetml/2006/main" count="140" uniqueCount="86">
  <si>
    <t>EJERCICIO FISCAL</t>
  </si>
  <si>
    <t xml:space="preserve">PROGRAMA 
PRESUPUESTARIO </t>
  </si>
  <si>
    <t xml:space="preserve">CENTRO COSTOS </t>
  </si>
  <si>
    <t xml:space="preserve">ACTIVIDAD ESPECIFICA </t>
  </si>
  <si>
    <t>CLAVE PRESUPUESTAL</t>
  </si>
  <si>
    <t>CAPÍTULO</t>
  </si>
  <si>
    <t xml:space="preserve">PARTIDA ESPECIFICA </t>
  </si>
  <si>
    <t>NOMBRE DE PARTIDA</t>
  </si>
  <si>
    <t>RESTRINGIDA</t>
  </si>
  <si>
    <t>FUENTE DE FINANCIAMIENTO</t>
  </si>
  <si>
    <t>UR</t>
  </si>
  <si>
    <t xml:space="preserve">OBRA </t>
  </si>
  <si>
    <t xml:space="preserve">CONCEPTO DE OBRA </t>
  </si>
  <si>
    <t xml:space="preserve">PROGRAMA </t>
  </si>
  <si>
    <t xml:space="preserve">COMPONENTE </t>
  </si>
  <si>
    <t xml:space="preserve">ACTIVIDAD </t>
  </si>
  <si>
    <t xml:space="preserve">TIPO DE GASTO </t>
  </si>
  <si>
    <t>TIPO DE PROYECTO</t>
  </si>
  <si>
    <t>REGION</t>
  </si>
  <si>
    <t>NOMBRE DE REGION</t>
  </si>
  <si>
    <t xml:space="preserve">MUNICIPIO </t>
  </si>
  <si>
    <t xml:space="preserve">NOMBRE DEL MUNICIPIO </t>
  </si>
  <si>
    <t xml:space="preserve">REMANENTE DEL EJERCICIO </t>
  </si>
  <si>
    <t xml:space="preserve">REGIONALIZACIÓN </t>
  </si>
  <si>
    <t xml:space="preserve">IMPORTE 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</si>
  <si>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</si>
  <si>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</si>
  <si>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</si>
  <si>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</si>
  <si>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</si>
  <si>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</si>
  <si>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</si>
  <si>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</si>
  <si>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</si>
  <si>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</si>
  <si>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</si>
  <si>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</si>
  <si>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</si>
  <si>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 xml:space="preserve">JUSTIFICACIÓN </t>
  </si>
  <si>
    <t>E088</t>
  </si>
  <si>
    <t>NO</t>
  </si>
  <si>
    <t>0191</t>
  </si>
  <si>
    <t>N/A</t>
  </si>
  <si>
    <t>00</t>
  </si>
  <si>
    <t>002 BIENES Y SERVICIOS CONSOLIDABLES</t>
  </si>
  <si>
    <t>003 GASTOS DE GESTIÓN ADMINISTRATIVA</t>
  </si>
  <si>
    <t>26-22-138-DA3Q-1-8-5-E088-00-200-1-5-1-115-002-2141-1-16-114-000000</t>
  </si>
  <si>
    <t xml:space="preserve">UNIDAD DE DESARROLLO DE TECNOLOGÍAS DE LA INFORMACIÓN </t>
  </si>
  <si>
    <t>0169</t>
  </si>
  <si>
    <t>004 GASTOS DE MANTENIMIENTO</t>
  </si>
  <si>
    <t>26-22-138-DA3Q-1-8-5-E088-00-200-1-5-1-115-004-2941-1-16-114-000000</t>
  </si>
  <si>
    <t>26-22-138-DA3Q-1-8-5-E088-00-200-1-5-1-115-003-3363-1-16-114-000000</t>
  </si>
  <si>
    <t>26-22-138-DA3Q-1-8-5-E088-00-200-1-5-1-115-003-3751-1-16-114-000000</t>
  </si>
  <si>
    <t>26-22-138-DA3Q-1-8-5-E088-00-200-1-5-1-115-003-3792-1-16-114-000000</t>
  </si>
  <si>
    <t>GASTOS PARA OPERATIVOS Y TRABAJOS DE CAMPO EN ÁREAS RURALES</t>
  </si>
  <si>
    <t>21</t>
  </si>
  <si>
    <t>114</t>
  </si>
  <si>
    <t>PUEBLA</t>
  </si>
  <si>
    <t>21-114 PUEBLA</t>
  </si>
  <si>
    <t>26-22-138-DA3Q-1-8-5-E088-00-200-1-5-1-115-003-3921-1-16-114-000000</t>
  </si>
  <si>
    <t>FORMATO DE PRESUPUESTO 2026
INSTITUTO POBLANO DE LOS PUEBLOS INDÍGENAS
UNIDAD DE TECNOLOGÍAS DE LA INFORMACIÓN</t>
  </si>
  <si>
    <t>MATERIAL IMPRESO E INFORMACIÓN DIGITAL</t>
  </si>
  <si>
    <t>MATERIALES, ÚTILES Y EQUIPOS MENORES DE TECNOLOGÍAS DE LA INFORMACIÓN Y COMUNICACIONES</t>
  </si>
  <si>
    <t>REFACCIONES Y ACCESORIOS MENORES PARA EQUIPO DE CÓMPUTO Y TELECOMUNICACIONES</t>
  </si>
  <si>
    <t>SERVICIO DE IMPRESIÓN DE DOCUMENTOS Y PAPELERÍA OFICIAL</t>
  </si>
  <si>
    <t>VIÁTICOS EN EL PAÍS</t>
  </si>
  <si>
    <t>OTROS IMPUESTOS Y DERECHOS</t>
  </si>
  <si>
    <t>PUEBLA CAPITAL</t>
  </si>
  <si>
    <t>OFICIO</t>
  </si>
  <si>
    <t>FECHA</t>
  </si>
  <si>
    <t>2141</t>
  </si>
  <si>
    <t>2941</t>
  </si>
  <si>
    <t>3751</t>
  </si>
  <si>
    <t>3792</t>
  </si>
  <si>
    <t>3921</t>
  </si>
  <si>
    <t>Resposable</t>
  </si>
  <si>
    <t>Moises Ismael Rosas Cabrera</t>
  </si>
  <si>
    <t>TOTALES</t>
  </si>
  <si>
    <t>GASTADO</t>
  </si>
  <si>
    <t>DISPONIBLE</t>
  </si>
  <si>
    <t>2151</t>
  </si>
  <si>
    <t>OBJ</t>
  </si>
  <si>
    <t>SDTI/003/2026</t>
  </si>
  <si>
    <t>3363</t>
  </si>
  <si>
    <t>IPPI/SDTI/003/2026</t>
  </si>
  <si>
    <t>IPPI/SDTI/004/2026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</si>
</sst>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Montserrat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62222"/>
        <bgColor rgb="FFC5E0B3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5" fillId="0" borderId="0" xfId="0" applyFont="1"/>
    <xf numFmtId="0" fontId="5" fillId="0" borderId="0" xfId="0" applyFont="1" applyAlignment="1">
      <alignment horizontal="right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justify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quotePrefix="1" applyBorder="1" applyAlignment="1">
      <alignment horizontal="center" vertical="center"/>
    </xf>
    <xf numFmtId="4" fontId="2" fillId="0" borderId="2" xfId="2" applyNumberFormat="1" applyFont="1" applyFill="1" applyBorder="1" applyAlignment="1">
      <alignment horizontal="center" vertical="center"/>
    </xf>
    <xf numFmtId="4" fontId="0" fillId="0" borderId="2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0" fontId="6" fillId="0" borderId="2" xfId="0" quotePrefix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4" fontId="7" fillId="0" borderId="2" xfId="2" applyNumberFormat="1" applyFont="1" applyFill="1" applyBorder="1" applyAlignment="1">
      <alignment horizontal="center" vertical="center"/>
    </xf>
    <xf numFmtId="4" fontId="6" fillId="0" borderId="2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6" fillId="0" borderId="0" xfId="0" applyFont="1"/>
    <xf numFmtId="0" fontId="0" fillId="0" borderId="0" xfId="0" applyAlignment="1">
      <alignment horizontal="center" vertical="center" wrapText="1"/>
    </xf>
    <xf numFmtId="4" fontId="0" fillId="0" borderId="0" xfId="0" applyNumberFormat="1"/>
    <xf numFmtId="4" fontId="2" fillId="0" borderId="0" xfId="0" applyNumberFormat="1" applyFont="1"/>
    <xf numFmtId="43" fontId="2" fillId="0" borderId="0" xfId="1" applyFont="1"/>
    <xf numFmtId="43" fontId="0" fillId="0" borderId="0" xfId="1" applyFont="1"/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 vertical="center" wrapText="1"/>
    </xf>
    <xf numFmtId="14" fontId="0" fillId="0" borderId="0" xfId="0" applyNumberFormat="1"/>
    <xf numFmtId="44" fontId="0" fillId="0" borderId="0" xfId="2" applyFont="1"/>
    <xf numFmtId="44" fontId="0" fillId="8" borderId="2" xfId="2" applyFont="1" applyFill="1" applyBorder="1"/>
    <xf numFmtId="44" fontId="0" fillId="7" borderId="4" xfId="2" applyFont="1" applyFill="1" applyBorder="1"/>
    <xf numFmtId="44" fontId="0" fillId="9" borderId="9" xfId="2" applyFont="1" applyFill="1" applyBorder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0" fillId="7" borderId="3" xfId="0" applyFill="1" applyBorder="1" applyAlignment="1">
      <alignment horizontal="right" vertical="center"/>
    </xf>
    <xf numFmtId="0" fontId="0" fillId="7" borderId="4" xfId="0" applyFill="1" applyBorder="1" applyAlignment="1">
      <alignment horizontal="right" vertical="center"/>
    </xf>
    <xf numFmtId="0" fontId="0" fillId="8" borderId="6" xfId="0" applyFill="1" applyBorder="1" applyAlignment="1">
      <alignment horizontal="right" vertical="center"/>
    </xf>
    <xf numFmtId="0" fontId="0" fillId="8" borderId="2" xfId="0" applyFill="1" applyBorder="1" applyAlignment="1">
      <alignment horizontal="right" vertical="center"/>
    </xf>
    <xf numFmtId="0" fontId="0" fillId="9" borderId="8" xfId="0" applyFill="1" applyBorder="1" applyAlignment="1">
      <alignment horizontal="right" vertical="center"/>
    </xf>
    <xf numFmtId="0" fontId="0" fillId="9" borderId="9" xfId="0" applyFill="1" applyBorder="1" applyAlignment="1">
      <alignment horizontal="right" vertical="center"/>
    </xf>
    <xf numFmtId="44" fontId="0" fillId="7" borderId="4" xfId="0" applyNumberForma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44" fontId="0" fillId="8" borderId="2" xfId="0" applyNumberForma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44" fontId="0" fillId="9" borderId="9" xfId="0" applyNumberFormat="1" applyFill="1" applyBorder="1" applyAlignment="1">
      <alignment horizontal="center"/>
    </xf>
    <xf numFmtId="0" fontId="0" fillId="9" borderId="10" xfId="0" applyFill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2EBC93-D448-4E4E-9887-62FD6F1FB493}" name="Tabla1" displayName="Tabla1" ref="A5:J8" totalsRowShown="0">
  <autoFilter ref="A5:J8" xr:uid="{202EBC93-D448-4E4E-9887-62FD6F1FB493}"/>
  <tableColumns count="10">
    <tableColumn id="1" xr3:uid="{97857A76-5F9B-4C30-B0AB-7D8D96DFCAA8}" name="OFICIO"/>
    <tableColumn id="2" xr3:uid="{9F0E9473-D3F3-4C88-B4FE-F157BDF91DC2}" name="FECHA" dataDxfId="0"/>
    <tableColumn id="3" xr3:uid="{2E46D7F7-D1EF-40D6-87BC-EC91B67A84C1}" name="2141" dataCellStyle="Moneda"/>
    <tableColumn id="4" xr3:uid="{48EEB309-7AC2-4030-972F-2069FA3A96CF}" name="2941" dataCellStyle="Moneda"/>
    <tableColumn id="5" xr3:uid="{D4FD8D89-36E1-4567-AB29-FC4AF5C43C86}" name="2151" dataCellStyle="Moneda"/>
    <tableColumn id="6" xr3:uid="{5BA0B30F-FB8E-4497-9364-E8E33A533F10}" name="3751" dataCellStyle="Moneda"/>
    <tableColumn id="7" xr3:uid="{FB418024-B8DB-46C4-8FFC-60FE2785DDA1}" name="3792" dataCellStyle="Moneda"/>
    <tableColumn id="8" xr3:uid="{A9F84573-D67E-441D-89F1-FACAF7DA1EE0}" name="3921" dataCellStyle="Moneda"/>
    <tableColumn id="9" xr3:uid="{B91AFE54-E383-4D09-8D32-7171B165AFFD}" name="Resposable"/>
    <tableColumn id="10" xr3:uid="{63DDE196-0654-4F65-88F7-2CB5EE47E5C8}" name="OB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865F-C538-4B3C-8B30-491449592B04}">
  <sheetPr>
    <pageSetUpPr fitToPage="1"/>
  </sheetPr>
  <dimension ref="A1:AO12"/>
  <sheetViews>
    <sheetView tabSelected="1" workbookViewId="0">
      <selection activeCell="E4" sqref="E4"/>
    </sheetView>
  </sheetViews>
  <sheetFormatPr baseColWidth="10" defaultRowHeight="15" x14ac:dyDescent="0.25"/>
  <cols>
    <col min="1" max="1" width="10.85546875" customWidth="1"/>
    <col min="2" max="2" width="16.5703125" customWidth="1"/>
    <col min="3" max="3" width="20.85546875" customWidth="1"/>
    <col min="4" max="4" width="21.7109375" customWidth="1"/>
    <col min="5" max="5" width="64.85546875" customWidth="1"/>
    <col min="6" max="6" width="11.42578125" customWidth="1"/>
    <col min="8" max="8" width="35.5703125" customWidth="1"/>
    <col min="9" max="9" width="6.85546875" hidden="1" customWidth="1"/>
    <col min="10" max="10" width="20.42578125" hidden="1" customWidth="1"/>
    <col min="11" max="11" width="13.42578125" hidden="1" customWidth="1"/>
    <col min="12" max="12" width="17.85546875" hidden="1" customWidth="1"/>
    <col min="13" max="16" width="11.42578125" hidden="1" customWidth="1"/>
    <col min="17" max="17" width="14.5703125" hidden="1" customWidth="1"/>
    <col min="18" max="18" width="11.42578125" hidden="1" customWidth="1"/>
    <col min="19" max="19" width="10" hidden="1" customWidth="1"/>
    <col min="20" max="20" width="10.7109375" hidden="1" customWidth="1"/>
    <col min="21" max="21" width="9.7109375" hidden="1" customWidth="1"/>
    <col min="22" max="22" width="24.28515625" hidden="1" customWidth="1"/>
    <col min="23" max="23" width="11" hidden="1" customWidth="1"/>
    <col min="24" max="24" width="18" hidden="1" customWidth="1"/>
    <col min="25" max="25" width="17.28515625" hidden="1" customWidth="1"/>
    <col min="26" max="26" width="18" hidden="1" customWidth="1"/>
    <col min="27" max="27" width="15.140625" hidden="1" customWidth="1"/>
    <col min="28" max="34" width="12" bestFit="1" customWidth="1"/>
    <col min="35" max="35" width="15.5703125" customWidth="1"/>
    <col min="36" max="38" width="12" bestFit="1" customWidth="1"/>
    <col min="39" max="39" width="13.5703125" bestFit="1" customWidth="1"/>
    <col min="40" max="40" width="15.140625" bestFit="1" customWidth="1"/>
    <col min="41" max="41" width="46.7109375" customWidth="1"/>
  </cols>
  <sheetData>
    <row r="1" spans="1:41" ht="35.25" customHeight="1" x14ac:dyDescent="0.25">
      <c r="A1" s="42" t="s">
        <v>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1" ht="30" x14ac:dyDescent="0.25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3" t="s">
        <v>6</v>
      </c>
      <c r="H3" s="3" t="s">
        <v>7</v>
      </c>
      <c r="I3" s="3"/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4" t="s">
        <v>23</v>
      </c>
      <c r="AA3" s="4" t="s">
        <v>24</v>
      </c>
      <c r="AB3" s="5" t="s">
        <v>25</v>
      </c>
      <c r="AC3" s="5" t="s">
        <v>26</v>
      </c>
      <c r="AD3" s="5" t="s">
        <v>27</v>
      </c>
      <c r="AE3" s="5" t="s">
        <v>28</v>
      </c>
      <c r="AF3" s="5" t="s">
        <v>29</v>
      </c>
      <c r="AG3" s="5" t="s">
        <v>30</v>
      </c>
      <c r="AH3" s="5" t="s">
        <v>31</v>
      </c>
      <c r="AI3" s="5" t="s">
        <v>32</v>
      </c>
      <c r="AJ3" s="5" t="s">
        <v>33</v>
      </c>
      <c r="AK3" s="5" t="s">
        <v>34</v>
      </c>
      <c r="AL3" s="5" t="s">
        <v>35</v>
      </c>
      <c r="AM3" s="5" t="s">
        <v>36</v>
      </c>
      <c r="AN3" s="5" t="s">
        <v>37</v>
      </c>
      <c r="AO3" s="6" t="s">
        <v>38</v>
      </c>
    </row>
    <row r="4" spans="1:41" s="27" customFormat="1" ht="75" customHeight="1" x14ac:dyDescent="0.25">
      <c r="A4" s="17">
        <v>2026</v>
      </c>
      <c r="B4" s="17" t="s">
        <v>39</v>
      </c>
      <c r="C4" s="18" t="s">
        <v>47</v>
      </c>
      <c r="D4" s="19" t="s">
        <v>44</v>
      </c>
      <c r="E4" s="17" t="s">
        <v>46</v>
      </c>
      <c r="F4" s="17" t="str">
        <f t="shared" ref="F4:F9" si="0">MID(E4,48,1)</f>
        <v>2</v>
      </c>
      <c r="G4" s="17" t="str">
        <f t="shared" ref="G4:G7" si="1">MID(E4,48,4)</f>
        <v>2141</v>
      </c>
      <c r="H4" s="19" t="s">
        <v>62</v>
      </c>
      <c r="I4" s="17"/>
      <c r="J4" s="19"/>
      <c r="K4" s="17" t="s">
        <v>40</v>
      </c>
      <c r="L4" s="17">
        <v>5.14</v>
      </c>
      <c r="M4" s="20" t="s">
        <v>48</v>
      </c>
      <c r="N4" s="17" t="s">
        <v>42</v>
      </c>
      <c r="O4" s="17" t="s">
        <v>42</v>
      </c>
      <c r="P4" s="17" t="s">
        <v>39</v>
      </c>
      <c r="Q4" s="21"/>
      <c r="R4" s="21"/>
      <c r="S4" s="17">
        <v>1</v>
      </c>
      <c r="T4" s="22" t="s">
        <v>43</v>
      </c>
      <c r="U4" s="17" t="str">
        <f>MID(E4,55,2)</f>
        <v>16</v>
      </c>
      <c r="V4" s="10" t="s">
        <v>67</v>
      </c>
      <c r="W4" s="17" t="str">
        <f>MID(E4,58,3)</f>
        <v>114</v>
      </c>
      <c r="X4" s="23" t="s">
        <v>57</v>
      </c>
      <c r="Y4" s="17">
        <v>0</v>
      </c>
      <c r="Z4" s="23" t="str">
        <f t="shared" ref="Z4:Z7" si="2">CONCATENATE(U4, "-",W4, " ", X4)</f>
        <v>16-114 PUEBLA</v>
      </c>
      <c r="AA4" s="24">
        <v>65000</v>
      </c>
      <c r="AB4" s="25">
        <v>0</v>
      </c>
      <c r="AC4" s="25">
        <v>0</v>
      </c>
      <c r="AD4" s="25">
        <v>32500</v>
      </c>
      <c r="AE4" s="25">
        <v>0</v>
      </c>
      <c r="AF4" s="25">
        <v>0</v>
      </c>
      <c r="AG4" s="25">
        <v>32500</v>
      </c>
      <c r="AH4" s="25">
        <v>0</v>
      </c>
      <c r="AI4" s="25">
        <v>0</v>
      </c>
      <c r="AJ4" s="25">
        <v>0</v>
      </c>
      <c r="AK4" s="25">
        <v>0</v>
      </c>
      <c r="AL4" s="25">
        <v>0</v>
      </c>
      <c r="AM4" s="25">
        <v>0</v>
      </c>
      <c r="AN4" s="14">
        <f t="shared" ref="AN4:AN5" si="3">SUM(AB4:AM4)</f>
        <v>65000</v>
      </c>
      <c r="AO4" s="26"/>
    </row>
    <row r="5" spans="1:41" ht="75" customHeight="1" x14ac:dyDescent="0.25">
      <c r="A5" s="7">
        <v>2026</v>
      </c>
      <c r="B5" s="7" t="s">
        <v>39</v>
      </c>
      <c r="C5" s="16" t="s">
        <v>47</v>
      </c>
      <c r="D5" s="9" t="s">
        <v>49</v>
      </c>
      <c r="E5" s="28" t="s">
        <v>50</v>
      </c>
      <c r="F5" s="7" t="str">
        <f t="shared" si="0"/>
        <v>2</v>
      </c>
      <c r="G5" s="7" t="str">
        <f t="shared" si="1"/>
        <v>2941</v>
      </c>
      <c r="H5" s="9" t="s">
        <v>63</v>
      </c>
      <c r="I5" s="7"/>
      <c r="J5" s="9"/>
      <c r="K5" s="7" t="s">
        <v>40</v>
      </c>
      <c r="L5" s="7">
        <v>5.14</v>
      </c>
      <c r="M5" s="11" t="s">
        <v>48</v>
      </c>
      <c r="N5" s="7" t="s">
        <v>42</v>
      </c>
      <c r="O5" s="7" t="s">
        <v>42</v>
      </c>
      <c r="P5" s="7" t="s">
        <v>39</v>
      </c>
      <c r="Q5" s="12"/>
      <c r="R5" s="12"/>
      <c r="S5" s="7">
        <v>1</v>
      </c>
      <c r="T5" s="13" t="s">
        <v>43</v>
      </c>
      <c r="U5" s="7" t="str">
        <f>MID(E5,55,2)</f>
        <v>16</v>
      </c>
      <c r="V5" s="10" t="s">
        <v>67</v>
      </c>
      <c r="W5" s="7" t="str">
        <f>MID(E5,58,3)</f>
        <v>114</v>
      </c>
      <c r="X5" s="10" t="s">
        <v>57</v>
      </c>
      <c r="Y5" s="7">
        <v>0</v>
      </c>
      <c r="Z5" s="10" t="str">
        <f t="shared" si="2"/>
        <v>16-114 PUEBLA</v>
      </c>
      <c r="AA5" s="14">
        <v>71000</v>
      </c>
      <c r="AB5" s="15">
        <v>0</v>
      </c>
      <c r="AC5" s="15">
        <v>20000</v>
      </c>
      <c r="AD5" s="15">
        <v>0</v>
      </c>
      <c r="AE5" s="15">
        <v>11000</v>
      </c>
      <c r="AF5" s="15">
        <v>0</v>
      </c>
      <c r="AG5" s="15">
        <v>20000</v>
      </c>
      <c r="AH5" s="15">
        <v>0</v>
      </c>
      <c r="AI5" s="15">
        <v>0</v>
      </c>
      <c r="AJ5" s="15">
        <v>0</v>
      </c>
      <c r="AK5" s="15">
        <v>20000</v>
      </c>
      <c r="AL5" s="15">
        <v>0</v>
      </c>
      <c r="AM5" s="15">
        <v>0</v>
      </c>
      <c r="AN5" s="14">
        <f t="shared" si="3"/>
        <v>71000</v>
      </c>
      <c r="AO5" s="16"/>
    </row>
    <row r="6" spans="1:41" ht="75" customHeight="1" x14ac:dyDescent="0.25">
      <c r="A6" s="7">
        <v>2026</v>
      </c>
      <c r="B6" s="7" t="s">
        <v>39</v>
      </c>
      <c r="C6" s="8" t="s">
        <v>47</v>
      </c>
      <c r="D6" s="9" t="s">
        <v>45</v>
      </c>
      <c r="E6" s="10" t="s">
        <v>51</v>
      </c>
      <c r="F6" s="7">
        <v>3</v>
      </c>
      <c r="G6" s="40">
        <v>2151</v>
      </c>
      <c r="H6" s="41" t="s">
        <v>61</v>
      </c>
      <c r="I6" s="33" t="s">
        <v>83</v>
      </c>
      <c r="J6" s="34" t="s">
        <v>64</v>
      </c>
      <c r="K6" s="7" t="s">
        <v>40</v>
      </c>
      <c r="L6" s="7">
        <v>5.14</v>
      </c>
      <c r="M6" s="11" t="s">
        <v>41</v>
      </c>
      <c r="N6" s="7" t="s">
        <v>42</v>
      </c>
      <c r="O6" s="7" t="s">
        <v>42</v>
      </c>
      <c r="P6" s="7" t="s">
        <v>39</v>
      </c>
      <c r="Q6" s="12"/>
      <c r="R6" s="12"/>
      <c r="S6" s="7">
        <v>1</v>
      </c>
      <c r="T6" s="13" t="s">
        <v>43</v>
      </c>
      <c r="U6" s="7" t="str">
        <f>MID(E6,55,2)</f>
        <v>16</v>
      </c>
      <c r="V6" s="10" t="s">
        <v>67</v>
      </c>
      <c r="W6" s="7" t="str">
        <f>MID(E6,58,3)</f>
        <v>114</v>
      </c>
      <c r="X6" s="10" t="s">
        <v>57</v>
      </c>
      <c r="Y6" s="7">
        <v>0</v>
      </c>
      <c r="Z6" s="10" t="str">
        <f t="shared" si="2"/>
        <v>16-114 PUEBLA</v>
      </c>
      <c r="AA6" s="14">
        <v>10000</v>
      </c>
      <c r="AB6" s="15">
        <v>0</v>
      </c>
      <c r="AC6" s="15">
        <v>0</v>
      </c>
      <c r="AD6" s="15">
        <v>0</v>
      </c>
      <c r="AE6" s="15">
        <v>4000</v>
      </c>
      <c r="AF6" s="15">
        <v>500</v>
      </c>
      <c r="AG6" s="15">
        <v>0</v>
      </c>
      <c r="AH6" s="15">
        <v>4000</v>
      </c>
      <c r="AI6" s="15">
        <v>0</v>
      </c>
      <c r="AJ6" s="15">
        <v>1500</v>
      </c>
      <c r="AK6" s="15">
        <v>0</v>
      </c>
      <c r="AL6" s="15">
        <v>0</v>
      </c>
      <c r="AM6" s="15">
        <v>0</v>
      </c>
      <c r="AN6" s="14">
        <f t="shared" ref="AN6:AN9" si="4">SUM(AB6:AM6)</f>
        <v>10000</v>
      </c>
      <c r="AO6" s="16"/>
    </row>
    <row r="7" spans="1:41" ht="75" customHeight="1" x14ac:dyDescent="0.25">
      <c r="A7" s="7">
        <v>2026</v>
      </c>
      <c r="B7" s="7" t="s">
        <v>39</v>
      </c>
      <c r="C7" s="8" t="s">
        <v>47</v>
      </c>
      <c r="D7" s="9" t="s">
        <v>45</v>
      </c>
      <c r="E7" s="7" t="s">
        <v>52</v>
      </c>
      <c r="F7" s="7" t="str">
        <f t="shared" si="0"/>
        <v>3</v>
      </c>
      <c r="G7" s="7" t="str">
        <f t="shared" si="1"/>
        <v>3751</v>
      </c>
      <c r="H7" s="9" t="s">
        <v>65</v>
      </c>
      <c r="I7" s="7"/>
      <c r="J7" s="9"/>
      <c r="K7" s="7" t="s">
        <v>40</v>
      </c>
      <c r="L7" s="7">
        <v>5.14</v>
      </c>
      <c r="M7" s="11" t="s">
        <v>48</v>
      </c>
      <c r="N7" s="7" t="s">
        <v>42</v>
      </c>
      <c r="O7" s="7" t="s">
        <v>42</v>
      </c>
      <c r="P7" s="7" t="s">
        <v>39</v>
      </c>
      <c r="Q7" s="12"/>
      <c r="R7" s="12"/>
      <c r="S7" s="7">
        <v>1</v>
      </c>
      <c r="T7" s="13" t="s">
        <v>43</v>
      </c>
      <c r="U7" s="7" t="str">
        <f>MID(E7,55,2)</f>
        <v>16</v>
      </c>
      <c r="V7" s="10" t="e">
        <v>#N/A</v>
      </c>
      <c r="W7" s="7" t="str">
        <f>MID(E7,58,3)</f>
        <v>114</v>
      </c>
      <c r="X7" s="10" t="s">
        <v>57</v>
      </c>
      <c r="Y7" s="7">
        <v>0</v>
      </c>
      <c r="Z7" s="10" t="str">
        <f t="shared" si="2"/>
        <v>16-114 PUEBLA</v>
      </c>
      <c r="AA7" s="14">
        <v>10000</v>
      </c>
      <c r="AB7" s="15">
        <v>0</v>
      </c>
      <c r="AC7" s="15">
        <v>500</v>
      </c>
      <c r="AD7" s="15">
        <v>800</v>
      </c>
      <c r="AE7" s="15">
        <v>1000</v>
      </c>
      <c r="AF7" s="15">
        <v>800</v>
      </c>
      <c r="AG7" s="15">
        <v>1000</v>
      </c>
      <c r="AH7" s="15">
        <v>1400</v>
      </c>
      <c r="AI7" s="15">
        <v>900</v>
      </c>
      <c r="AJ7" s="15">
        <v>1300</v>
      </c>
      <c r="AK7" s="15">
        <v>1200</v>
      </c>
      <c r="AL7" s="15">
        <v>1100</v>
      </c>
      <c r="AM7" s="15">
        <v>0</v>
      </c>
      <c r="AN7" s="14">
        <f t="shared" si="4"/>
        <v>10000</v>
      </c>
      <c r="AO7" s="16"/>
    </row>
    <row r="8" spans="1:41" ht="75" customHeight="1" x14ac:dyDescent="0.25">
      <c r="A8" s="7">
        <v>2026</v>
      </c>
      <c r="B8" s="7" t="s">
        <v>39</v>
      </c>
      <c r="C8" s="8" t="s">
        <v>47</v>
      </c>
      <c r="D8" s="9" t="s">
        <v>45</v>
      </c>
      <c r="E8" s="7" t="s">
        <v>53</v>
      </c>
      <c r="F8" s="7">
        <v>3</v>
      </c>
      <c r="G8" s="7">
        <v>3792</v>
      </c>
      <c r="H8" s="9" t="s">
        <v>54</v>
      </c>
      <c r="I8" s="7"/>
      <c r="J8" s="9"/>
      <c r="K8" s="7" t="s">
        <v>40</v>
      </c>
      <c r="L8" s="7">
        <v>5.14</v>
      </c>
      <c r="M8" s="11" t="s">
        <v>48</v>
      </c>
      <c r="N8" s="7" t="s">
        <v>42</v>
      </c>
      <c r="O8" s="7" t="s">
        <v>42</v>
      </c>
      <c r="P8" s="7" t="s">
        <v>39</v>
      </c>
      <c r="Q8" s="12"/>
      <c r="R8" s="12"/>
      <c r="S8" s="7">
        <v>1</v>
      </c>
      <c r="T8" s="13" t="s">
        <v>43</v>
      </c>
      <c r="U8" s="7" t="s">
        <v>55</v>
      </c>
      <c r="V8" s="10" t="e">
        <v>#N/A</v>
      </c>
      <c r="W8" s="7" t="s">
        <v>56</v>
      </c>
      <c r="X8" s="10" t="s">
        <v>57</v>
      </c>
      <c r="Y8" s="7">
        <v>0</v>
      </c>
      <c r="Z8" s="10" t="s">
        <v>58</v>
      </c>
      <c r="AA8" s="14">
        <v>15000</v>
      </c>
      <c r="AB8" s="15">
        <v>0</v>
      </c>
      <c r="AC8" s="15">
        <v>1500</v>
      </c>
      <c r="AD8" s="15">
        <v>2000</v>
      </c>
      <c r="AE8" s="15">
        <v>1500</v>
      </c>
      <c r="AF8" s="15">
        <v>1500</v>
      </c>
      <c r="AG8" s="15">
        <v>1500</v>
      </c>
      <c r="AH8" s="15">
        <v>1500</v>
      </c>
      <c r="AI8" s="15">
        <v>1500</v>
      </c>
      <c r="AJ8" s="15">
        <v>1500</v>
      </c>
      <c r="AK8" s="15">
        <v>1000</v>
      </c>
      <c r="AL8" s="15">
        <v>500</v>
      </c>
      <c r="AM8" s="15">
        <v>1000</v>
      </c>
      <c r="AN8" s="14">
        <f t="shared" si="4"/>
        <v>15000</v>
      </c>
      <c r="AO8" s="16"/>
    </row>
    <row r="9" spans="1:41" ht="75" customHeight="1" x14ac:dyDescent="0.25">
      <c r="A9" s="7">
        <v>2026</v>
      </c>
      <c r="B9" s="7" t="s">
        <v>39</v>
      </c>
      <c r="C9" s="8" t="s">
        <v>47</v>
      </c>
      <c r="D9" s="9" t="s">
        <v>45</v>
      </c>
      <c r="E9" s="7" t="s">
        <v>59</v>
      </c>
      <c r="F9" s="7" t="str">
        <f t="shared" si="0"/>
        <v>3</v>
      </c>
      <c r="G9" s="7" t="str">
        <f t="shared" ref="G9" si="5">MID(E9,48,4)</f>
        <v>3921</v>
      </c>
      <c r="H9" s="9" t="s">
        <v>66</v>
      </c>
      <c r="I9" s="7"/>
      <c r="J9" s="9"/>
      <c r="K9" s="7" t="s">
        <v>40</v>
      </c>
      <c r="L9" s="7">
        <v>5.14</v>
      </c>
      <c r="M9" s="11" t="s">
        <v>48</v>
      </c>
      <c r="N9" s="7" t="s">
        <v>42</v>
      </c>
      <c r="O9" s="7" t="s">
        <v>42</v>
      </c>
      <c r="P9" s="7" t="s">
        <v>39</v>
      </c>
      <c r="Q9" s="12"/>
      <c r="R9" s="12"/>
      <c r="S9" s="7">
        <v>1</v>
      </c>
      <c r="T9" s="13" t="s">
        <v>43</v>
      </c>
      <c r="U9" s="7" t="str">
        <f>MID(E9,55,2)</f>
        <v>16</v>
      </c>
      <c r="V9" s="10" t="e">
        <v>#N/A</v>
      </c>
      <c r="W9" s="7" t="str">
        <f>MID(E9,58,3)</f>
        <v>114</v>
      </c>
      <c r="X9" s="10" t="s">
        <v>57</v>
      </c>
      <c r="Y9" s="7">
        <v>0</v>
      </c>
      <c r="Z9" s="10" t="str">
        <f t="shared" ref="Z9" si="6">CONCATENATE(U9, "-",W9, " ", X9)</f>
        <v>16-114 PUEBLA</v>
      </c>
      <c r="AA9" s="14">
        <v>10000</v>
      </c>
      <c r="AB9" s="15">
        <v>0</v>
      </c>
      <c r="AC9" s="15">
        <v>500</v>
      </c>
      <c r="AD9" s="15">
        <v>1000</v>
      </c>
      <c r="AE9" s="15">
        <v>1200</v>
      </c>
      <c r="AF9" s="15">
        <v>1500</v>
      </c>
      <c r="AG9" s="15">
        <v>1000</v>
      </c>
      <c r="AH9" s="15">
        <v>1000</v>
      </c>
      <c r="AI9" s="15">
        <v>500</v>
      </c>
      <c r="AJ9" s="15">
        <v>1000</v>
      </c>
      <c r="AK9" s="15">
        <v>1000</v>
      </c>
      <c r="AL9" s="15">
        <v>800</v>
      </c>
      <c r="AM9" s="15">
        <v>500</v>
      </c>
      <c r="AN9" s="14">
        <f t="shared" si="4"/>
        <v>10000</v>
      </c>
      <c r="AO9" s="16"/>
    </row>
    <row r="10" spans="1:41" x14ac:dyDescent="0.25">
      <c r="AB10" s="30">
        <f t="shared" ref="AB10:AN10" si="7">SUBTOTAL(9,AB4:AB9)</f>
        <v>0</v>
      </c>
      <c r="AC10" s="30">
        <f t="shared" si="7"/>
        <v>22500</v>
      </c>
      <c r="AD10" s="30">
        <f t="shared" si="7"/>
        <v>36300</v>
      </c>
      <c r="AE10" s="30">
        <f t="shared" si="7"/>
        <v>18700</v>
      </c>
      <c r="AF10" s="30">
        <f t="shared" si="7"/>
        <v>4300</v>
      </c>
      <c r="AG10" s="30">
        <f t="shared" si="7"/>
        <v>56000</v>
      </c>
      <c r="AH10" s="30">
        <f t="shared" si="7"/>
        <v>7900</v>
      </c>
      <c r="AI10" s="30">
        <f t="shared" si="7"/>
        <v>2900</v>
      </c>
      <c r="AJ10" s="30">
        <f t="shared" si="7"/>
        <v>5300</v>
      </c>
      <c r="AK10" s="30">
        <f t="shared" si="7"/>
        <v>23200</v>
      </c>
      <c r="AL10" s="30">
        <f t="shared" si="7"/>
        <v>2400</v>
      </c>
      <c r="AM10" s="30">
        <f t="shared" si="7"/>
        <v>1500</v>
      </c>
      <c r="AN10" s="31">
        <f t="shared" si="7"/>
        <v>181000</v>
      </c>
    </row>
    <row r="11" spans="1:41" x14ac:dyDescent="0.25">
      <c r="AN11" s="32"/>
    </row>
    <row r="12" spans="1:41" x14ac:dyDescent="0.25">
      <c r="AN12" s="29"/>
    </row>
  </sheetData>
  <autoFilter ref="A3:AO12" xr:uid="{00000000-0009-0000-0000-000000000000}"/>
  <mergeCells count="1">
    <mergeCell ref="A1:AO1"/>
  </mergeCells>
  <pageMargins left="0.7" right="0.7" top="0.75" bottom="0.75" header="0.3" footer="0.3"/>
  <pageSetup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0CF4-4CC3-488E-B4C2-542418D188DC}">
  <sheetPr>
    <pageSetUpPr fitToPage="1"/>
  </sheetPr>
  <dimension ref="A1:J8"/>
  <sheetViews>
    <sheetView workbookViewId="0">
      <pane ySplit="5" topLeftCell="A6" activePane="bottomLeft" state="frozen"/>
      <selection pane="bottomLeft" sqref="A1:J16"/>
    </sheetView>
  </sheetViews>
  <sheetFormatPr baseColWidth="10" defaultRowHeight="15" x14ac:dyDescent="0.25"/>
  <cols>
    <col min="1" max="1" width="20.85546875" customWidth="1"/>
    <col min="3" max="8" width="12.5703125" customWidth="1"/>
    <col min="9" max="9" width="38.7109375" customWidth="1"/>
    <col min="10" max="10" width="35" customWidth="1"/>
  </cols>
  <sheetData>
    <row r="1" spans="1:10" x14ac:dyDescent="0.25">
      <c r="A1" s="44" t="s">
        <v>77</v>
      </c>
      <c r="B1" s="45"/>
      <c r="C1" s="38">
        <f>'FORMATO PRESUPUESTO GRAL'!AN4</f>
        <v>65000</v>
      </c>
      <c r="D1" s="38">
        <f>'FORMATO PRESUPUESTO GRAL'!AN5</f>
        <v>71000</v>
      </c>
      <c r="E1" s="38">
        <f>'FORMATO PRESUPUESTO GRAL'!AN6</f>
        <v>10000</v>
      </c>
      <c r="F1" s="38">
        <f>'FORMATO PRESUPUESTO GRAL'!AN7</f>
        <v>10000</v>
      </c>
      <c r="G1" s="38">
        <f>'FORMATO PRESUPUESTO GRAL'!AN8</f>
        <v>15000</v>
      </c>
      <c r="H1" s="38">
        <f>'FORMATO PRESUPUESTO GRAL'!AN9</f>
        <v>10000</v>
      </c>
      <c r="I1" s="50">
        <f>SUM(C1:H1)</f>
        <v>181000</v>
      </c>
      <c r="J1" s="51"/>
    </row>
    <row r="2" spans="1:10" x14ac:dyDescent="0.25">
      <c r="A2" s="46" t="s">
        <v>78</v>
      </c>
      <c r="B2" s="47"/>
      <c r="C2" s="37">
        <f>SUM(Tabla1[2141])</f>
        <v>32472.52</v>
      </c>
      <c r="D2" s="37">
        <f>SUM(Tabla1[2941])</f>
        <v>30563.74</v>
      </c>
      <c r="E2" s="37">
        <f>SUM(Tabla1[2151])</f>
        <v>0</v>
      </c>
      <c r="F2" s="37">
        <f>SUM(Tabla1[3751])</f>
        <v>0</v>
      </c>
      <c r="G2" s="37">
        <f>SUM(Tabla1[3792])</f>
        <v>1005</v>
      </c>
      <c r="H2" s="37">
        <f>SUM(Tabla1[3921])</f>
        <v>596</v>
      </c>
      <c r="I2" s="52">
        <f>SUM(C2:H2)</f>
        <v>64637.26</v>
      </c>
      <c r="J2" s="53"/>
    </row>
    <row r="3" spans="1:10" ht="15.75" thickBot="1" x14ac:dyDescent="0.3">
      <c r="A3" s="48" t="s">
        <v>79</v>
      </c>
      <c r="B3" s="49"/>
      <c r="C3" s="39">
        <f t="shared" ref="C3:H3" si="0">C1-C2</f>
        <v>32527.48</v>
      </c>
      <c r="D3" s="39">
        <f t="shared" si="0"/>
        <v>40436.259999999995</v>
      </c>
      <c r="E3" s="39">
        <f t="shared" si="0"/>
        <v>10000</v>
      </c>
      <c r="F3" s="39">
        <f t="shared" si="0"/>
        <v>10000</v>
      </c>
      <c r="G3" s="39">
        <f t="shared" si="0"/>
        <v>13995</v>
      </c>
      <c r="H3" s="39">
        <f t="shared" si="0"/>
        <v>9404</v>
      </c>
      <c r="I3" s="54">
        <f>SUM(C3:H3)</f>
        <v>116362.73999999999</v>
      </c>
      <c r="J3" s="55"/>
    </row>
    <row r="5" spans="1:10" x14ac:dyDescent="0.25">
      <c r="A5" t="s">
        <v>68</v>
      </c>
      <c r="B5" t="s">
        <v>69</v>
      </c>
      <c r="C5" t="s">
        <v>70</v>
      </c>
      <c r="D5" t="s">
        <v>71</v>
      </c>
      <c r="E5" t="s">
        <v>80</v>
      </c>
      <c r="F5" t="s">
        <v>72</v>
      </c>
      <c r="G5" t="s">
        <v>73</v>
      </c>
      <c r="H5" t="s">
        <v>74</v>
      </c>
      <c r="I5" t="s">
        <v>75</v>
      </c>
      <c r="J5" t="s">
        <v>81</v>
      </c>
    </row>
    <row r="6" spans="1:10" x14ac:dyDescent="0.25">
      <c r="A6" t="s">
        <v>82</v>
      </c>
      <c r="B6" s="35">
        <v>46135</v>
      </c>
      <c r="C6" s="36"/>
      <c r="D6" s="36"/>
      <c r="E6" s="36"/>
      <c r="F6" s="36"/>
      <c r="G6" s="36">
        <v>1005</v>
      </c>
      <c r="H6" s="36">
        <v>596</v>
      </c>
      <c r="I6" t="s">
        <v>76</v>
      </c>
    </row>
    <row r="7" spans="1:10" x14ac:dyDescent="0.25">
      <c r="A7" t="s">
        <v>84</v>
      </c>
      <c r="B7" s="35">
        <v>46153</v>
      </c>
      <c r="C7" s="36">
        <v>32472.52</v>
      </c>
      <c r="D7" s="36"/>
      <c r="E7" s="36"/>
      <c r="F7" s="36"/>
      <c r="G7" s="36"/>
      <c r="H7" s="36"/>
      <c r="I7" t="s">
        <v>76</v>
      </c>
    </row>
    <row r="8" spans="1:10" x14ac:dyDescent="0.25">
      <c r="A8" t="s">
        <v>85</v>
      </c>
      <c r="B8" s="35">
        <v>46153</v>
      </c>
      <c r="C8" s="36"/>
      <c r="D8" s="36">
        <v>30563.74</v>
      </c>
      <c r="E8" s="36"/>
      <c r="F8" s="36"/>
      <c r="G8" s="36"/>
      <c r="H8" s="36"/>
      <c r="I8" t="s">
        <v>76</v>
      </c>
    </row>
  </sheetData>
  <mergeCells count="6">
    <mergeCell ref="A1:B1"/>
    <mergeCell ref="A2:B2"/>
    <mergeCell ref="A3:B3"/>
    <mergeCell ref="I1:J1"/>
    <mergeCell ref="I2:J2"/>
    <mergeCell ref="I3:J3"/>
  </mergeCells>
  <pageMargins left="0.7" right="0.7" top="0.75" bottom="0.75" header="0.3" footer="0.3"/>
  <pageSetup scale="67" orientation="landscape" r:id="rId1"/>
  <ignoredErrors>
    <ignoredError sqref="D2" formula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PRESUPUESTO GRAL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IPPI03F</dc:creator>
  <cp:lastModifiedBy>Miguel Trinidad Gómez Hernandez</cp:lastModifiedBy>
  <cp:lastPrinted>2026-10-01T19:29:08Z</cp:lastPrinted>
  <dcterms:created xsi:type="dcterms:W3CDTF">2026-01-08T18:39:46Z</dcterms:created>
  <dcterms:modified xsi:type="dcterms:W3CDTF">2026-10-12T18:59:30Z</dcterms:modified>
</cp:coreProperties>
</file>