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IPPI 11\Desktop\proyecto-2027\"/>
    </mc:Choice>
  </mc:AlternateContent>
  <xr:revisionPtr revIDLastSave="0" documentId="13_ncr:1_{182C74E0-575E-4405-A580-D07AB0689B5A}" xr6:coauthVersionLast="47" xr6:coauthVersionMax="47" xr10:uidLastSave="{00000000-0000-0000-0000-000000000000}"/>
  <bookViews>
    <workbookView xWindow="28680" yWindow="-120" windowWidth="29040" windowHeight="16440" xr2:uid="{00000000-000D-0000-FFFF-FFFF00000000}"/>
  </bookViews>
  <sheets>
    <sheet name="FORMATO PRESUPUESTO GRAL" sheetId="1" r:id="rId1"/>
    <sheet name="CATALOGO DE PARTIDAS" sheetId="9" r:id="rId2"/>
    <sheet name="CATALOGO DE ACTIVIDADES" sheetId="10" r:id="rId3"/>
    <sheet name="CATALOGO DE TIPO DE GASTO" sheetId="11" r:id="rId4"/>
    <sheet name="CATALOGO DE CAPITULOS" sheetId="12" r:id="rId5"/>
    <sheet name="CATALOGO DE MUNICIPIOS" sheetId="16" r:id="rId6"/>
    <sheet name="CATALOGO DE REGIONES" sheetId="15" r:id="rId7"/>
    <sheet name="CATALOGO DE PUEBLOS ORIGINARIOS" sheetId="17" r:id="rId8"/>
  </sheets>
  <definedNames>
    <definedName name="_xlnm._FilterDatabase" localSheetId="0" hidden="1">'FORMATO PRESUPUESTO GRAL'!$A$3:$AN$9</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1" l="1"/>
  <c r="AM9" i="1"/>
  <c r="AM7" i="1"/>
  <c r="H5" i="1"/>
  <c r="AM4" i="1"/>
  <c r="U8" i="1"/>
  <c r="D4" i="1" l="1"/>
  <c r="D5" i="1"/>
  <c r="D6" i="1"/>
  <c r="D7" i="1"/>
  <c r="D8" i="1"/>
  <c r="D9" i="1"/>
  <c r="AM6" i="1" l="1"/>
  <c r="AM8" i="1"/>
  <c r="AM5" i="1"/>
  <c r="V6" i="1" l="1"/>
  <c r="T6" i="1"/>
  <c r="U6" i="1" s="1"/>
  <c r="H6" i="1"/>
  <c r="Y6" i="1" l="1"/>
  <c r="V9" i="1" l="1"/>
  <c r="T9" i="1"/>
  <c r="U9" i="1" s="1"/>
  <c r="H9" i="1"/>
  <c r="G9" i="1"/>
  <c r="V7" i="1"/>
  <c r="T7" i="1"/>
  <c r="U7" i="1" s="1"/>
  <c r="G7" i="1"/>
  <c r="V5" i="1"/>
  <c r="T5" i="1"/>
  <c r="U5" i="1" s="1"/>
  <c r="G5" i="1"/>
  <c r="V4" i="1"/>
  <c r="T4" i="1"/>
  <c r="U4" i="1" s="1"/>
  <c r="H4" i="1"/>
  <c r="G4" i="1"/>
  <c r="Y9" i="1" l="1"/>
  <c r="Y5" i="1"/>
  <c r="Y7" i="1"/>
  <c r="Y4" i="1"/>
</calcChain>
</file>

<file path=xl/sharedStrings.xml><?xml version="1.0" encoding="utf-8"?>
<sst xmlns="http://schemas.openxmlformats.org/spreadsheetml/2006/main" count="3272" uniqueCount="1404">
  <si>
    <t>EJERCICIO FISCAL</t>
  </si>
  <si>
    <t xml:space="preserve">PROGRAMA 
PRESUPUESTARIO </t>
  </si>
  <si>
    <t xml:space="preserve">CENTRO COSTOS </t>
  </si>
  <si>
    <t xml:space="preserve">ACTIVIDAD ESPECIFICA </t>
  </si>
  <si>
    <t>CLAVE PRESUPUESTAL</t>
  </si>
  <si>
    <t>CAPÍTULO</t>
  </si>
  <si>
    <t xml:space="preserve">PARTIDA ESPECIFICA </t>
  </si>
  <si>
    <t>NOMBRE DE PARTIDA</t>
  </si>
  <si>
    <t>RESTRINGIDA</t>
  </si>
  <si>
    <t>FUENTE DE FINANCIAMIENTO</t>
  </si>
  <si>
    <t>UR</t>
  </si>
  <si>
    <t xml:space="preserve">OBRA </t>
  </si>
  <si>
    <t xml:space="preserve">CONCEPTO DE OBRA </t>
  </si>
  <si>
    <t xml:space="preserve">PROGRAMA </t>
  </si>
  <si>
    <t xml:space="preserve">COMPONENTE </t>
  </si>
  <si>
    <t xml:space="preserve">ACTIVIDAD </t>
  </si>
  <si>
    <t xml:space="preserve">TIPO DE GASTO </t>
  </si>
  <si>
    <t>TIPO DE PROYECTO</t>
  </si>
  <si>
    <t>REGION</t>
  </si>
  <si>
    <t>NOMBRE DE REGION</t>
  </si>
  <si>
    <t xml:space="preserve">MUNICIPIO </t>
  </si>
  <si>
    <t xml:space="preserve">NOMBRE DEL MUNICIPIO </t>
  </si>
  <si>
    <t xml:space="preserve">REMANENTE DEL EJERCICIO </t>
  </si>
  <si>
    <t xml:space="preserve">REGIONALIZACIÓN </t>
  </si>
  <si>
    <t xml:space="preserve">IMPORTE </t>
  </si>
  <si>
    <t xml:space="preserve">ENERO </t>
  </si>
  <si>
    <t>FEBRERO</t>
  </si>
  <si>
    <t>MARZO</t>
  </si>
  <si>
    <t>ABRIL</t>
  </si>
  <si>
    <t>MAYO</t>
  </si>
  <si>
    <t>JUNIO</t>
  </si>
  <si>
    <t>JULIO</t>
  </si>
  <si>
    <t>AGOSTO</t>
  </si>
  <si>
    <t>SEPTIEMBRE</t>
  </si>
  <si>
    <t>OCTUBRE</t>
  </si>
  <si>
    <t>NOVIEMBRE</t>
  </si>
  <si>
    <t>DICIEMBRE</t>
  </si>
  <si>
    <t>TOTAL</t>
  </si>
  <si>
    <t xml:space="preserve">JUSTIFICACIÓN </t>
  </si>
  <si>
    <t>E088</t>
  </si>
  <si>
    <t>NO</t>
  </si>
  <si>
    <t>0191</t>
  </si>
  <si>
    <t>N/A</t>
  </si>
  <si>
    <t>00</t>
  </si>
  <si>
    <t>0169</t>
  </si>
  <si>
    <t>3</t>
  </si>
  <si>
    <t>3792</t>
  </si>
  <si>
    <t>GASTOS PARA OPERATIVOS Y TRABAJOS DE CAMPO EN ÁREAS RURALES</t>
  </si>
  <si>
    <t>21</t>
  </si>
  <si>
    <t>114</t>
  </si>
  <si>
    <t>PUEBLA</t>
  </si>
  <si>
    <t>21-114 PUEBLA</t>
  </si>
  <si>
    <t>4419</t>
  </si>
  <si>
    <t>OTRAS AYUDAS</t>
  </si>
  <si>
    <t>RAMO</t>
  </si>
  <si>
    <t>ACTIVIDAD ESPECÍFICA</t>
  </si>
  <si>
    <t>DESCRIPCIÓN</t>
  </si>
  <si>
    <t>ESTATUS</t>
  </si>
  <si>
    <t>22</t>
  </si>
  <si>
    <t>000</t>
  </si>
  <si>
    <t>NO ASOCIADO A CONCEPTO</t>
  </si>
  <si>
    <t>A</t>
  </si>
  <si>
    <t>001</t>
  </si>
  <si>
    <t>SERVICIOS BÁSICOS</t>
  </si>
  <si>
    <t>002</t>
  </si>
  <si>
    <t>BIENES Y SERVICIOS CONSOLIDABLES</t>
  </si>
  <si>
    <t>003</t>
  </si>
  <si>
    <t>GASTOS DE GESTIÓN ADMINISTRATIVA</t>
  </si>
  <si>
    <t>004</t>
  </si>
  <si>
    <t>GASTOS DE MANTENIMIENTO</t>
  </si>
  <si>
    <t>005</t>
  </si>
  <si>
    <t>AUDITOR EXTERNO</t>
  </si>
  <si>
    <t>006</t>
  </si>
  <si>
    <t>DIFUSIÓN Y TRANSMISIÓN DEL DOCUMENTAL</t>
  </si>
  <si>
    <t>I</t>
  </si>
  <si>
    <t>007</t>
  </si>
  <si>
    <t>COMUNICACIÓN SOCIAL</t>
  </si>
  <si>
    <t>008</t>
  </si>
  <si>
    <t>ARRENDAMIENTO DE VEHÍCULOS</t>
  </si>
  <si>
    <t>009</t>
  </si>
  <si>
    <t>TRANSMISIÓN DE CONTENIDOS EDUCATIVOS, CULTURALES Y NOTICIOSOS</t>
  </si>
  <si>
    <t>012</t>
  </si>
  <si>
    <t>COMPENSACIÓN COMPLEMENTARIA</t>
  </si>
  <si>
    <t>017</t>
  </si>
  <si>
    <t>ESTRATEGIAS DE INFORMACIÓN, DIFUSIÓN Y CONECTIVIDAD</t>
  </si>
  <si>
    <t>018</t>
  </si>
  <si>
    <t>ASESORÍA EN COMUNICACIÓN</t>
  </si>
  <si>
    <t>019</t>
  </si>
  <si>
    <t>COMITE DE PARTICIPACION CIUDADANA</t>
  </si>
  <si>
    <t>021</t>
  </si>
  <si>
    <t>MANTENIMIENTO A INFRAESTRUCTURA DE COMUNICACIÓN</t>
  </si>
  <si>
    <t>022</t>
  </si>
  <si>
    <t>CAMPAÑAS DE COMUNICACIÓN CIUDADANA</t>
  </si>
  <si>
    <t>023</t>
  </si>
  <si>
    <t>PULL DE PRENSA DEL EJECUTIVO</t>
  </si>
  <si>
    <t>026</t>
  </si>
  <si>
    <t>APOYO A PERSONAS INDÍGENAS PARA PROPÓSITOS SOCIALES</t>
  </si>
  <si>
    <t>027</t>
  </si>
  <si>
    <t>ESTACIONES TERRENAS</t>
  </si>
  <si>
    <t>028</t>
  </si>
  <si>
    <t>CAPACIDAD SATELITAL</t>
  </si>
  <si>
    <t>031</t>
  </si>
  <si>
    <t>SISTEMA DE INFORMACIÓN INDÍGENA POBLANO</t>
  </si>
  <si>
    <t>032</t>
  </si>
  <si>
    <t>SEGUIMIENTO A LOS PLANES PARA EL BIENESTAR INTEGRAL DE LOS PUEBLOS NAHUA Y MAZATECO</t>
  </si>
  <si>
    <t>035</t>
  </si>
  <si>
    <t>SERVICIO DE PAUTADO</t>
  </si>
  <si>
    <t>036</t>
  </si>
  <si>
    <t>EQUIPAMIENTO Y MODERNIZACIÓN</t>
  </si>
  <si>
    <t>2000</t>
  </si>
  <si>
    <t>MATERIALES Y SUMINISTROS</t>
  </si>
  <si>
    <t>3000</t>
  </si>
  <si>
    <t>SERVICIOS GENERALES</t>
  </si>
  <si>
    <t>4000</t>
  </si>
  <si>
    <t>TRANSFERENCIAS, ASIGNACIONES, SUBSIDIOS Y OTRAS AYUDAS</t>
  </si>
  <si>
    <t>5000</t>
  </si>
  <si>
    <t>BIENES MUEBLES, INMUEBLES E INTANGIBLES</t>
  </si>
  <si>
    <t>TIPO GASTO</t>
  </si>
  <si>
    <t>1</t>
  </si>
  <si>
    <t>GASTO CORRIENTE</t>
  </si>
  <si>
    <t>2</t>
  </si>
  <si>
    <t>GASTO DE CAPITAL</t>
  </si>
  <si>
    <t>AMORTIZACIÓN DE LA DEUDA Y DISMINUCIÓN DE PASIVOS</t>
  </si>
  <si>
    <t>4</t>
  </si>
  <si>
    <t>PENSIONES Y JUBILACIONES</t>
  </si>
  <si>
    <t>5</t>
  </si>
  <si>
    <t>PARTICIPACIONES</t>
  </si>
  <si>
    <t>CONCEPTO</t>
  </si>
  <si>
    <t>PARTIDA GENÉRICA</t>
  </si>
  <si>
    <t>PARTIDA ESPECÍFICA</t>
  </si>
  <si>
    <t>CONCEPTO RESTRINGIDO</t>
  </si>
  <si>
    <t>2100</t>
  </si>
  <si>
    <t>2110</t>
  </si>
  <si>
    <t>2111</t>
  </si>
  <si>
    <t>MATERIALES, ÚTILES Y EQUIPOS MENORES DE OFICINA</t>
  </si>
  <si>
    <t>2120</t>
  </si>
  <si>
    <t>2121</t>
  </si>
  <si>
    <t>MATERIALES Y ÚTILES DE IMPRESIÓN Y REPRODUCCIÓN</t>
  </si>
  <si>
    <t>2130</t>
  </si>
  <si>
    <t>2131</t>
  </si>
  <si>
    <t>MATERIAL ESTADÍSTICO Y GEOGRÁFICO</t>
  </si>
  <si>
    <t>2140</t>
  </si>
  <si>
    <t>2141</t>
  </si>
  <si>
    <t>MATERIALES, ÚTILES Y EQUIPOS MENORES DE TECNOLOGÍAS DE LA INFORMACIÓN Y COMUNICACIONES</t>
  </si>
  <si>
    <t>2150</t>
  </si>
  <si>
    <t>2151</t>
  </si>
  <si>
    <t>MATERIAL IMPRESO E INFORMACIÓN DIGITAL</t>
  </si>
  <si>
    <t>2160</t>
  </si>
  <si>
    <t>2161</t>
  </si>
  <si>
    <t>MATERIAL DE LIMPIEZA</t>
  </si>
  <si>
    <t>2170</t>
  </si>
  <si>
    <t>2171</t>
  </si>
  <si>
    <t>MATERIALES Y ÚTILES DE ENSEÑANZA</t>
  </si>
  <si>
    <t>2180</t>
  </si>
  <si>
    <t>2181</t>
  </si>
  <si>
    <t>REGISTRO E IDENTIFICACIÓN DE BIENES Y PERSONAS</t>
  </si>
  <si>
    <t>2182</t>
  </si>
  <si>
    <t>REGISTRO E IDENTIFICACIÓN VEHICULAR</t>
  </si>
  <si>
    <t>2183</t>
  </si>
  <si>
    <t>ADQUISICIÓN DE FORMAS VALORADAS</t>
  </si>
  <si>
    <t>2200</t>
  </si>
  <si>
    <t>2210</t>
  </si>
  <si>
    <t>2211</t>
  </si>
  <si>
    <t>PRODUCTOS ALIMENTICIOS PARA LOS EFECTIVOS QUE PARTICIPEN EN PROGRAMAS DE SEGURIDAD PÚBLICA</t>
  </si>
  <si>
    <t>2212</t>
  </si>
  <si>
    <t>PRODUCTOS ALIMENTICIOS PARA LOS EFECTIVOS QUE REALICEN LABORES EN CAMPO O DE SUPERVISIÓN</t>
  </si>
  <si>
    <t>2213</t>
  </si>
  <si>
    <t>PRODUCTOS ALIMENTICIOS PARA EL PERSONAL EN LAS INSTALACIONES DE LAS DEPENDENCIAS Y ENTIDADES</t>
  </si>
  <si>
    <t>2214</t>
  </si>
  <si>
    <t>PRODUCTOS ALIMENTICIOS PARA LA POBLACIÓN AFECTADA EN CASO DE DESASTRES NATURALES</t>
  </si>
  <si>
    <t>2215</t>
  </si>
  <si>
    <t>PRODUCTOS ALIMENTICIOS PARA EL PERSONAL DERIVADO DE SITUACIONES CONTINGENTES</t>
  </si>
  <si>
    <t>2216</t>
  </si>
  <si>
    <t>PRODUCTOS ALIMENTICIOS PARA PERSONAS ASOCIADO A LA PRESTACIÓN DE SERVICIOS PÚBLICOS EN UNIDADES DE SALUD, EDUCATIVAS, DE REINSERCIÓN SOCIAL Y OTRAS</t>
  </si>
  <si>
    <t>2220</t>
  </si>
  <si>
    <t>2221</t>
  </si>
  <si>
    <t>PRODUCTOS ALIMENTICIOS PARA ANIMALES</t>
  </si>
  <si>
    <t>2230</t>
  </si>
  <si>
    <t>2231</t>
  </si>
  <si>
    <t>UTENSILIOS PARA EL SERVICIO DE ALIMENTACIÓN</t>
  </si>
  <si>
    <t>2300</t>
  </si>
  <si>
    <t>2310</t>
  </si>
  <si>
    <t>2311</t>
  </si>
  <si>
    <t>PRODUCTOS ALIMENTICIOS, AGROPECUARIOS Y FORESTALES ADQUIRIDOS COMO MATERIA PRIMA</t>
  </si>
  <si>
    <t>2320</t>
  </si>
  <si>
    <t>2321</t>
  </si>
  <si>
    <t>INSUMOS TEXTILES ADQUIRIDOS COMO MATERIA PRIMA</t>
  </si>
  <si>
    <t>2330</t>
  </si>
  <si>
    <t>2331</t>
  </si>
  <si>
    <t>PRODUCTOS DE PAPEL, CARTÓN E IMPRESOS ADQUIRIDOS COMO MATERIA PRIMA</t>
  </si>
  <si>
    <t>2340</t>
  </si>
  <si>
    <t>2341</t>
  </si>
  <si>
    <t>COMBUSTIBLES, LUBRICANTES, ADITIVOS, CARBÓN Y SUS DERIVADOS ADQUIRIDOS COMO MATERIA PRIMA</t>
  </si>
  <si>
    <t>2350</t>
  </si>
  <si>
    <t>2351</t>
  </si>
  <si>
    <t>PRODUCTOS QUÍMICOS, FARMACÉUTICOS Y DE LABORATORIO ADQUIRIDOS COMO MATERIA PRIMA</t>
  </si>
  <si>
    <t>2360</t>
  </si>
  <si>
    <t>2361</t>
  </si>
  <si>
    <t>PRODUCTOS METÁLICOS Y A BASE DE MINERALES NO METÁLICOS ADQUIRIDOS COMO MATERIA PRIMA</t>
  </si>
  <si>
    <t>2370</t>
  </si>
  <si>
    <t>2371</t>
  </si>
  <si>
    <t>PRODUCTOS DE CUERO, PIEL, PLÁSTICO Y HULE ADQUIRIDOS COMO MATERIA PRIMA</t>
  </si>
  <si>
    <t>2380</t>
  </si>
  <si>
    <t>2381</t>
  </si>
  <si>
    <t>MERCANCÍAS ADQUIRIDAS PARA SU COMERCIALIZACIÓN</t>
  </si>
  <si>
    <t>2390</t>
  </si>
  <si>
    <t>2391</t>
  </si>
  <si>
    <t>OTROS PRODUCTOS ADQUIRIDOS COMO MATERIA PRIMA</t>
  </si>
  <si>
    <t>2400</t>
  </si>
  <si>
    <t>2410</t>
  </si>
  <si>
    <t>2411</t>
  </si>
  <si>
    <t>PRODUCTOS MINERALES NO METÁLICOS</t>
  </si>
  <si>
    <t>2420</t>
  </si>
  <si>
    <t>2421</t>
  </si>
  <si>
    <t>CEMENTO Y PRODUCTOS DE CONCRETO</t>
  </si>
  <si>
    <t>2430</t>
  </si>
  <si>
    <t>2431</t>
  </si>
  <si>
    <t>CAL, YESO Y PRODUCTOS DE YESO</t>
  </si>
  <si>
    <t>2440</t>
  </si>
  <si>
    <t>2441</t>
  </si>
  <si>
    <t>MADERA Y PRODUCTOS DE MADERA</t>
  </si>
  <si>
    <t>2450</t>
  </si>
  <si>
    <t>2451</t>
  </si>
  <si>
    <t>VIDRIO Y PRODUCTOS DE VIDRIO</t>
  </si>
  <si>
    <t>2460</t>
  </si>
  <si>
    <t>2461</t>
  </si>
  <si>
    <t>MATERIAL ELÉCTRICO Y ELECTRÓNICO</t>
  </si>
  <si>
    <t>2470</t>
  </si>
  <si>
    <t>2471</t>
  </si>
  <si>
    <t>ARTÍCULOS METÁLICOS PARA LA CONSTRUCCIÓN</t>
  </si>
  <si>
    <t>2480</t>
  </si>
  <si>
    <t>2481</t>
  </si>
  <si>
    <t>MATERIALES COMPLEMENTARIOS</t>
  </si>
  <si>
    <t>2490</t>
  </si>
  <si>
    <t>2491</t>
  </si>
  <si>
    <t>OTROS MATERIALES Y ARTÍCULOS DE CONSTRUCCIÓN Y REPARACIÓN</t>
  </si>
  <si>
    <t>2500</t>
  </si>
  <si>
    <t>2510</t>
  </si>
  <si>
    <t>2511</t>
  </si>
  <si>
    <t>PRODUCTOS QUÍMICOS BÁSICOS</t>
  </si>
  <si>
    <t>2520</t>
  </si>
  <si>
    <t>2521</t>
  </si>
  <si>
    <t>FERTILIZANTES, PESTICIDAS Y OTROS AGROQUÍMICOS</t>
  </si>
  <si>
    <t>2530</t>
  </si>
  <si>
    <t>2531</t>
  </si>
  <si>
    <t>MEDICINAS Y PRODUCTOS FARMACÉUTICOS</t>
  </si>
  <si>
    <t>2540</t>
  </si>
  <si>
    <t>2541</t>
  </si>
  <si>
    <t>MATERIALES, ACCESORIOS Y SUMINISTROS MÉDICOS</t>
  </si>
  <si>
    <t>2542</t>
  </si>
  <si>
    <t>MATERIALES, ACCESORIOS Y SUMINISTROS MÉDICOS PARA EL SECTOR PÚBLICO</t>
  </si>
  <si>
    <t>2550</t>
  </si>
  <si>
    <t>2551</t>
  </si>
  <si>
    <t>MATERIALES, ACCESORIOS Y SUMINISTROS DE LABORATORIO</t>
  </si>
  <si>
    <t>2560</t>
  </si>
  <si>
    <t>2561</t>
  </si>
  <si>
    <t>FIBRAS SINTÉTICAS, HULES, PLÁSTICOS Y DERIVADOS</t>
  </si>
  <si>
    <t>2590</t>
  </si>
  <si>
    <t>2591</t>
  </si>
  <si>
    <t>OTROS PRODUCTOS QUÍMICOS</t>
  </si>
  <si>
    <t>2600</t>
  </si>
  <si>
    <t>2610</t>
  </si>
  <si>
    <t>2611</t>
  </si>
  <si>
    <t>COMBUSTIBLES, LUBRICANTES Y ADITIVOS PARA VEHÍCULOS DESTINADOS A SERVICIOS PÚBLICOS Y LA OPERACIÓN DE PROGRAMAS PÚBLICOS</t>
  </si>
  <si>
    <t>2612</t>
  </si>
  <si>
    <t>COMBUSTIBLES, LUBRICANTES Y ADITIVOS PARA VEHÍCULOS DESTINADOS A SERVICIOS ADMINISTRATIVOS</t>
  </si>
  <si>
    <t>2613</t>
  </si>
  <si>
    <t>COMBUSTIBLES, LUBRICANTES Y ADITIVOS PARA VEHÍCULOS ASIGNADOS A LAS Y LOS SERVIDORES PÚBLICOS</t>
  </si>
  <si>
    <t>2614</t>
  </si>
  <si>
    <t>COMBUSTIBLES, LUBRICANTES Y ADITIVOS PARA MAQUINARIA Y EQUIPO DE PRODUCCIÓN</t>
  </si>
  <si>
    <t>2620</t>
  </si>
  <si>
    <t>2621</t>
  </si>
  <si>
    <t>CARBÓN Y SUS DERIVADOS</t>
  </si>
  <si>
    <t>2700</t>
  </si>
  <si>
    <t>2710</t>
  </si>
  <si>
    <t>2711</t>
  </si>
  <si>
    <t>VESTUARIO Y UNIFORMES</t>
  </si>
  <si>
    <t>2720</t>
  </si>
  <si>
    <t>2721</t>
  </si>
  <si>
    <t>PRENDAS DE SEGURIDAD Y PROTECCIÓN PERSONAL</t>
  </si>
  <si>
    <t>2730</t>
  </si>
  <si>
    <t>2731</t>
  </si>
  <si>
    <t>ARTÍCULOS DEPORTIVOS</t>
  </si>
  <si>
    <t>2740</t>
  </si>
  <si>
    <t>2741</t>
  </si>
  <si>
    <t>PRODUCTOS TEXTILES</t>
  </si>
  <si>
    <t>2750</t>
  </si>
  <si>
    <t>2751</t>
  </si>
  <si>
    <t>BLANCOS Y OTROS PRODUCTOS TEXTILES, EXCEPTO PRENDAS DE VESTIR</t>
  </si>
  <si>
    <t>2800</t>
  </si>
  <si>
    <t>2810</t>
  </si>
  <si>
    <t>2811</t>
  </si>
  <si>
    <t>SUSTANCIAS Y MATERIALES EXPLOSIVOS</t>
  </si>
  <si>
    <t>2820</t>
  </si>
  <si>
    <t>2821</t>
  </si>
  <si>
    <t>MATERIALES DE SEGURIDAD PÚBLICA</t>
  </si>
  <si>
    <t>2830</t>
  </si>
  <si>
    <t>2831</t>
  </si>
  <si>
    <t>PRENDAS DE PROTECCIÓN PARA SEGURIDAD PÚBLICA</t>
  </si>
  <si>
    <t>2900</t>
  </si>
  <si>
    <t>2910</t>
  </si>
  <si>
    <t>2911</t>
  </si>
  <si>
    <t>HERRAMIENTAS MENORES</t>
  </si>
  <si>
    <t>2920</t>
  </si>
  <si>
    <t>2921</t>
  </si>
  <si>
    <t>REFACCIONES Y ACCESORIOS MENORES DE EDIFICIOS</t>
  </si>
  <si>
    <t>2930</t>
  </si>
  <si>
    <t>2931</t>
  </si>
  <si>
    <t>REFACCIONES Y ACCESORIOS MENORES DE MOBILIARIO Y EQUIPO DE ADMINISTRACIÓN, EDUCACIONAL Y RECREATIVO</t>
  </si>
  <si>
    <t>2940</t>
  </si>
  <si>
    <t>2941</t>
  </si>
  <si>
    <t>REFACCIONES Y ACCESORIOS MENORES PARA EQUIPO DE CÓMPUTO Y TELECOMUNICACIONES</t>
  </si>
  <si>
    <t>2950</t>
  </si>
  <si>
    <t>2951</t>
  </si>
  <si>
    <t>REFACCIONES Y ACCESORIOS MENORES DE EQUIPO E INSTRUMENTAL MÉDICO Y DE LABORATORIO</t>
  </si>
  <si>
    <t>2960</t>
  </si>
  <si>
    <t>2961</t>
  </si>
  <si>
    <t>REFACCIONES Y ACCESORIOS MENORES DE EQUIPO DE TRANSPORTE</t>
  </si>
  <si>
    <t>2970</t>
  </si>
  <si>
    <t>2971</t>
  </si>
  <si>
    <t>REFACCIONES Y ACCESORIOS MENORES DE EQUIPO DE DEFENSA Y SEGURIDAD</t>
  </si>
  <si>
    <t>2980</t>
  </si>
  <si>
    <t>2981</t>
  </si>
  <si>
    <t>REFACCIONES Y ACCESORIOS MENORES DE MAQUINARIA Y OTROS EQUIPOS</t>
  </si>
  <si>
    <t>2990</t>
  </si>
  <si>
    <t>2991</t>
  </si>
  <si>
    <t>REFACCIONES Y ACCESORIOS MENORES DE OTROS BIENES MUEBLES</t>
  </si>
  <si>
    <t>3100</t>
  </si>
  <si>
    <t>3110</t>
  </si>
  <si>
    <t>3111</t>
  </si>
  <si>
    <t>SERVICIO DE ENERGÍA ELÉCTRICA</t>
  </si>
  <si>
    <t>3112</t>
  </si>
  <si>
    <t>SERVICIO DE ALUMBRADO PÚBLICO</t>
  </si>
  <si>
    <t>3120</t>
  </si>
  <si>
    <t>3121</t>
  </si>
  <si>
    <t>SERVICIO DE GAS</t>
  </si>
  <si>
    <t>3130</t>
  </si>
  <si>
    <t>3131</t>
  </si>
  <si>
    <t>SERVICIO DE AGUA</t>
  </si>
  <si>
    <t>3132</t>
  </si>
  <si>
    <t>SERVICIO DE AGUA PARA RIEGO</t>
  </si>
  <si>
    <t>3133</t>
  </si>
  <si>
    <t>SERVICIO DE AGUA EN SITUACIONES DE EMERGENCIA</t>
  </si>
  <si>
    <t>3140</t>
  </si>
  <si>
    <t>3141</t>
  </si>
  <si>
    <t>SERVICIO TELEFÓNICO CONVENCIONAL</t>
  </si>
  <si>
    <t>3150</t>
  </si>
  <si>
    <t>3151</t>
  </si>
  <si>
    <t>SERVICIO DE TELEFONÍA CELULAR</t>
  </si>
  <si>
    <t>3160</t>
  </si>
  <si>
    <t>3161</t>
  </si>
  <si>
    <t>SERVICIOS DE RADIOLOCALIZACIÓN</t>
  </si>
  <si>
    <t>3162</t>
  </si>
  <si>
    <t>SERVICIOS DE TELECOMUNICACIONES</t>
  </si>
  <si>
    <t>3170</t>
  </si>
  <si>
    <t>3171</t>
  </si>
  <si>
    <t>SERVICIOS DE ACCESO DE INTERNET</t>
  </si>
  <si>
    <t>3172</t>
  </si>
  <si>
    <t>SERVICIOS DE REDES Y PROCESAMIENTO DE INFORMACIÓN</t>
  </si>
  <si>
    <t>3180</t>
  </si>
  <si>
    <t>3181</t>
  </si>
  <si>
    <t>SERVICIO POSTAL</t>
  </si>
  <si>
    <t>3182</t>
  </si>
  <si>
    <t>SERVICIO TELEGRÁFICO</t>
  </si>
  <si>
    <t>3190</t>
  </si>
  <si>
    <t>3191</t>
  </si>
  <si>
    <t>SERVICIOS INTEGRALES DE TELECOMUNICACIÓN</t>
  </si>
  <si>
    <t>3192</t>
  </si>
  <si>
    <t>SERVICIOS INTEGRALES DE INFRAESTRUCTURA DE CÓMPUTO</t>
  </si>
  <si>
    <t>3193</t>
  </si>
  <si>
    <t>OTROS SERVICIOS INTEGRALES</t>
  </si>
  <si>
    <t>3200</t>
  </si>
  <si>
    <t>3210</t>
  </si>
  <si>
    <t>3211</t>
  </si>
  <si>
    <t>ARRENDAMIENTO DE TERRENOS</t>
  </si>
  <si>
    <t>3220</t>
  </si>
  <si>
    <t>3221</t>
  </si>
  <si>
    <t>ARRENDAMIENTO DE EDIFICIOS</t>
  </si>
  <si>
    <t>3230</t>
  </si>
  <si>
    <t>3231</t>
  </si>
  <si>
    <t>ARRENDAMIENTO DE MOBILIARIO</t>
  </si>
  <si>
    <t>3232</t>
  </si>
  <si>
    <t>ARRENDAMIENTO DE EQUIPO Y BIENES INFORMÁTICOS</t>
  </si>
  <si>
    <t>3233</t>
  </si>
  <si>
    <t>ARRENDAMIENTO DE EQUIPO DE TELECOMUNICACIONES</t>
  </si>
  <si>
    <t>3240</t>
  </si>
  <si>
    <t>3241</t>
  </si>
  <si>
    <t>ARRENDAMIENTO DE EQUIPO E INSTRUMENTAL MÉDICO Y DE LABORATORIO</t>
  </si>
  <si>
    <t>3250</t>
  </si>
  <si>
    <t>3251</t>
  </si>
  <si>
    <t>ARRENDAMIENTO DE VEHÍCULOS TERRESTRES, AÉREOS, MARÍTIMOS, LACUSTRES Y FLUVIALES PARA SERVICIOS PÚBLICOS Y LA OPERACIÓN DE PROGRAMAS PÚBLICOS</t>
  </si>
  <si>
    <t>3252</t>
  </si>
  <si>
    <t>ARRENDAMIENTO DE VEHÍCULOS TERRESTRES, AÉREOS, MARÍTIMOS, LACUSTRES Y FLUVIALES PARA SERVICIOS ADMINISTRATIVOS</t>
  </si>
  <si>
    <t>3253</t>
  </si>
  <si>
    <t>ARRENDAMIENTO DE VEHÍCULOS TERRESTRES, AÉREOS, MARÍTIMOS, LACUSTRES Y FLUVIALES PARA DESASTRES NATURALES Y EVENTUALIDADES</t>
  </si>
  <si>
    <t>3254</t>
  </si>
  <si>
    <t>ARRENDAMIENTO DE VEHÍCULOS TERRESTRES, AÉREOS, MARÍTIMOS, LACUSTRES Y FLUVIALES PARA LAS Y LOS SERVIDORES PÚBLICOS</t>
  </si>
  <si>
    <t>3260</t>
  </si>
  <si>
    <t>3261</t>
  </si>
  <si>
    <t>ARRENDAMIENTO DE MAQUINARIA, OTROS EQUIPOS Y HERRAMIENTAS</t>
  </si>
  <si>
    <t>3270</t>
  </si>
  <si>
    <t>3271</t>
  </si>
  <si>
    <t>DERECHOS DE AUTOR, PATENTES, REGALÍAS Y OTROS</t>
  </si>
  <si>
    <t>3280</t>
  </si>
  <si>
    <t>3281</t>
  </si>
  <si>
    <t>ARRENDAMIENTO FINANCIERO</t>
  </si>
  <si>
    <t>3290</t>
  </si>
  <si>
    <t>3291</t>
  </si>
  <si>
    <t>OTROS ARRENDAMIENTOS</t>
  </si>
  <si>
    <t>3300</t>
  </si>
  <si>
    <t>3310</t>
  </si>
  <si>
    <t>3311</t>
  </si>
  <si>
    <t>SERVICIOS RELACIONADOS CON PROCEDIMIENTOS JURISDICCIONALES</t>
  </si>
  <si>
    <t>3312</t>
  </si>
  <si>
    <t>OTROS SERVICIOS PARA LA OPERACIÓN DE PROGRAMAS</t>
  </si>
  <si>
    <t>3320</t>
  </si>
  <si>
    <t>3321</t>
  </si>
  <si>
    <t>SERVICIOS DE DISEÑO, ARQUITECTURA, INGENIERÍA Y ACTIVIDADES RELACIONADAS</t>
  </si>
  <si>
    <t>3330</t>
  </si>
  <si>
    <t>3331</t>
  </si>
  <si>
    <t>SERVICIOS DE DESARROLLO DE APLICACIONES INFORMÁTICAS</t>
  </si>
  <si>
    <t>3332</t>
  </si>
  <si>
    <t>SERVICIOS ESTADÍSTICOS Y GEOGRÁFICOS</t>
  </si>
  <si>
    <t>3333</t>
  </si>
  <si>
    <t>SERVICIOS RELACIONADOS CON CERTIFICACIÓN DE PROCESOS</t>
  </si>
  <si>
    <t>3334</t>
  </si>
  <si>
    <t>SERVICIOS DE MANTENIMIENTO DE APLICACIONES INFORMÁTICAS</t>
  </si>
  <si>
    <t>3340</t>
  </si>
  <si>
    <t>3341</t>
  </si>
  <si>
    <t>CAPACITACIÓN INSTITUCIONAL</t>
  </si>
  <si>
    <t>3342</t>
  </si>
  <si>
    <t>CAPACITACIÓN ESPECIALIZADA</t>
  </si>
  <si>
    <t>3350</t>
  </si>
  <si>
    <t>3351</t>
  </si>
  <si>
    <t>SERVICIOS DE INVESTIGACIÓN CIENTÍFICA Y DESARROLLO</t>
  </si>
  <si>
    <t>3360</t>
  </si>
  <si>
    <t>3361</t>
  </si>
  <si>
    <t>SERVICIOS RELACIONADOS CON TRADUCCIONES</t>
  </si>
  <si>
    <t>3362</t>
  </si>
  <si>
    <t>SERVICIOS DE APOYO ADMINISTRATIVO</t>
  </si>
  <si>
    <t>3363</t>
  </si>
  <si>
    <t>SERVICIO DE IMPRESIÓN DE DOCUMENTOS Y PAPELERÍA OFICIAL</t>
  </si>
  <si>
    <t>3364</t>
  </si>
  <si>
    <t>SERVICIOS DE IMPRESIÓN DE MATERIAL INFORMATIVO DERIVADO DE LA OPERACIÓN Y ADMINISTRACIÓN</t>
  </si>
  <si>
    <t>3365</t>
  </si>
  <si>
    <t>INFORMACIÓN EN MEDIOS MASIVOS DERIVADA DE LA OPERACIÓN Y ADMINISTRACIÓN DE LAS DEPENDENCIAS Y ENTIDADES</t>
  </si>
  <si>
    <t>3366</t>
  </si>
  <si>
    <t>SERVICIOS DE DIGITALIZACIÓN</t>
  </si>
  <si>
    <t>3370</t>
  </si>
  <si>
    <t>3371</t>
  </si>
  <si>
    <t>SERVICIOS DE PROTECCIÓN Y SEGURIDAD</t>
  </si>
  <si>
    <t>3380</t>
  </si>
  <si>
    <t>3381</t>
  </si>
  <si>
    <t>SERVICIOS DE VIGILANCIA</t>
  </si>
  <si>
    <t>3390</t>
  </si>
  <si>
    <t>3391</t>
  </si>
  <si>
    <t>SERVICIOS PROFESIONALES, CIENTÍFICOS Y TÉCNICOS INTEGRALES</t>
  </si>
  <si>
    <t>3400</t>
  </si>
  <si>
    <t>3410</t>
  </si>
  <si>
    <t>3411</t>
  </si>
  <si>
    <t>SERVICIOS FINANCIEROS Y BANCARIOS</t>
  </si>
  <si>
    <t>3420</t>
  </si>
  <si>
    <t>3421</t>
  </si>
  <si>
    <t>SERVICIOS DE COBRANZA, INVESTIGACIÓN CREDITICIA Y SIMILAR</t>
  </si>
  <si>
    <t>3430</t>
  </si>
  <si>
    <t>3431</t>
  </si>
  <si>
    <t>SERVICIOS DE RECAUDACIÓN, TRASLADO Y CUSTODIA DE VALORES</t>
  </si>
  <si>
    <t>3440</t>
  </si>
  <si>
    <t>3441</t>
  </si>
  <si>
    <t>SEGURO DE RESPONSABILIDAD PATRIMONIAL Y FIANZAS DEL ESTADO</t>
  </si>
  <si>
    <t>3450</t>
  </si>
  <si>
    <t>3451</t>
  </si>
  <si>
    <t>SEGUROS DE BIENES PATRIMONIALES</t>
  </si>
  <si>
    <t>3452</t>
  </si>
  <si>
    <t>SEGUROS CONTRA DESASTRES NATURALES</t>
  </si>
  <si>
    <t>3460</t>
  </si>
  <si>
    <t>3461</t>
  </si>
  <si>
    <t>ALMACENAJE, EMBALAJE Y ENVASE</t>
  </si>
  <si>
    <t>3470</t>
  </si>
  <si>
    <t>3471</t>
  </si>
  <si>
    <t>FLETES Y MANIOBRAS</t>
  </si>
  <si>
    <t>3480</t>
  </si>
  <si>
    <t>3481</t>
  </si>
  <si>
    <t>COMISIONES POR VENTAS</t>
  </si>
  <si>
    <t>3490</t>
  </si>
  <si>
    <t>3491</t>
  </si>
  <si>
    <t>SERVICIOS FINANCIEROS, BANCARIOS Y COMERCIALES INTEGRALES</t>
  </si>
  <si>
    <t>3500</t>
  </si>
  <si>
    <t>3510</t>
  </si>
  <si>
    <t>3511</t>
  </si>
  <si>
    <t>MANTENIMIENTO Y CONSERVACIÓN MENOR DE INMUEBLES PARA LA PRESTACIÓN DE SERVICIOS ADMINISTRATIVOS</t>
  </si>
  <si>
    <t>3512</t>
  </si>
  <si>
    <t>MANTENIMIENTO Y CONSERVACIÓN MENOR DE INMUEBLES PARA LA PRESTACIÓN DE SERVICIOS PÚBLICOS</t>
  </si>
  <si>
    <t>3520</t>
  </si>
  <si>
    <t>3521</t>
  </si>
  <si>
    <t>MANTENIMIENTO Y CONSERVACIÓN DE MOBILIARIO Y EQUIPO DE ADMINISTRACIÓN, EDUCACIONAL Y RECREATIVO</t>
  </si>
  <si>
    <t>3530</t>
  </si>
  <si>
    <t>3531</t>
  </si>
  <si>
    <t>INSTALACIÓN, REPARACIÓN Y MANTENIMIENTO DE EQUIPO DE CÓMPUTO Y TECNOLOGÍAS DE LA INFORMACIÓN</t>
  </si>
  <si>
    <t>3540</t>
  </si>
  <si>
    <t>3541</t>
  </si>
  <si>
    <t>INSTALACIÓN, REPARACIÓN Y MANTENIMIENTO DE EQUIPO E INSTRUMENTAL MÉDICO Y DE LABORATORIO</t>
  </si>
  <si>
    <t>3550</t>
  </si>
  <si>
    <t>3551</t>
  </si>
  <si>
    <t>MANTENIMIENTO Y CONSERVACIÓN DE VEHÍCULOS TERRESTRES, AÉREOS, MARÍTIMOS, LACUSTRES Y FLUVIALES</t>
  </si>
  <si>
    <t>3560</t>
  </si>
  <si>
    <t>3561</t>
  </si>
  <si>
    <t>REPARACIÓN Y MANTENIMIENTO DE EQUIPO DE DEFENSA Y SEGURIDAD</t>
  </si>
  <si>
    <t>3570</t>
  </si>
  <si>
    <t>3571</t>
  </si>
  <si>
    <t>INSTALACIÓN, REPARACIÓN Y MANTENIMIENTO DE MAQUINARIA Y OTROS EQUIPOS</t>
  </si>
  <si>
    <t>3572</t>
  </si>
  <si>
    <t>INSTALACIÓN, REPARACIÓN Y MANTENIMIENTO DE MAQUINARIA Y EQUIPO DE TRABAJO ESPECÍFICO</t>
  </si>
  <si>
    <t>3573</t>
  </si>
  <si>
    <t>INSTALACIÓN, REPARACIÓN Y MANTENIMIENTO DE PLANTAS E INSTALACIONES PRODUCTIVAS</t>
  </si>
  <si>
    <t>3580</t>
  </si>
  <si>
    <t>3581</t>
  </si>
  <si>
    <t>SERVICIOS DE LIMPIEZA Y MANEJO DE DESECHOS</t>
  </si>
  <si>
    <t>3590</t>
  </si>
  <si>
    <t>3591</t>
  </si>
  <si>
    <t>SERVICIOS DE JARDINERÍA Y FUMIGACIÓN</t>
  </si>
  <si>
    <t>3600</t>
  </si>
  <si>
    <t>3610</t>
  </si>
  <si>
    <t>3611</t>
  </si>
  <si>
    <t>DIFUSIÓN POR RADIO, TELEVISIÓN Y OTROS MEDIOS DE MENSAJES SOBRE PROGRAMAS Y ACTIVIDADES GUBERNAMENTALES</t>
  </si>
  <si>
    <t>3620</t>
  </si>
  <si>
    <t>3621</t>
  </si>
  <si>
    <t>DIFUSIÓN POR RADIO, TELEVISIÓN Y OTROS MEDIOS DE MENSAJES COMERCIALES PARA PROMOVER LA VENTA DE BIENES O SERVICIOS</t>
  </si>
  <si>
    <t>3630</t>
  </si>
  <si>
    <t>3631</t>
  </si>
  <si>
    <t>SERVICIOS DE CREATIVIDAD, PREPRODUCCIÓN Y PRODUCCIÓN, EXCEPTO INTERNET</t>
  </si>
  <si>
    <t>3640</t>
  </si>
  <si>
    <t>3641</t>
  </si>
  <si>
    <t>SERVICIOS DE IMPRESIÓN Y REVELADO DE FOTOGRAFÍAS</t>
  </si>
  <si>
    <t>3650</t>
  </si>
  <si>
    <t>3651</t>
  </si>
  <si>
    <t>SERVICIOS DE LA INDUSTRIA FÍLMICA, DEL SONIDO Y DEL VIDEO</t>
  </si>
  <si>
    <t>3660</t>
  </si>
  <si>
    <t>3661</t>
  </si>
  <si>
    <t>SERVICIO DE CREACIÓN Y DIFUSIÓN DE CONTENIDO EXCLUSIVAMENTE A TRAVÉS DE INTERNET</t>
  </si>
  <si>
    <t>3690</t>
  </si>
  <si>
    <t>3691</t>
  </si>
  <si>
    <t>OTROS SERVICIOS DE INFORMACIÓN</t>
  </si>
  <si>
    <t>3700</t>
  </si>
  <si>
    <t>3710</t>
  </si>
  <si>
    <t>3711</t>
  </si>
  <si>
    <t>PASAJES AÉREOS NACIONALES</t>
  </si>
  <si>
    <t>3712</t>
  </si>
  <si>
    <t>PASAJES AÉREOS INTERNACIONALES</t>
  </si>
  <si>
    <t>3720</t>
  </si>
  <si>
    <t>3721</t>
  </si>
  <si>
    <t>PASAJES TERRESTRES NACIONALES</t>
  </si>
  <si>
    <t>3722</t>
  </si>
  <si>
    <t>PASAJES TERRESTRES INTERNACIONALES</t>
  </si>
  <si>
    <t>3730</t>
  </si>
  <si>
    <t>3731</t>
  </si>
  <si>
    <t>PASAJES MARÍTIMOS, LACUSTRES Y FLUVIALES</t>
  </si>
  <si>
    <t>3740</t>
  </si>
  <si>
    <t>3741</t>
  </si>
  <si>
    <t>AUTOTRANSPORTE</t>
  </si>
  <si>
    <t>3750</t>
  </si>
  <si>
    <t>3751</t>
  </si>
  <si>
    <t>VIÁTICOS EN EL PAÍS</t>
  </si>
  <si>
    <t>3760</t>
  </si>
  <si>
    <t>3761</t>
  </si>
  <si>
    <t>VIÁTICOS EN EL EXTRANJERO</t>
  </si>
  <si>
    <t>3770</t>
  </si>
  <si>
    <t>3771</t>
  </si>
  <si>
    <t>GASTOS DE INSTALACIÓN Y TRASLADO DE MENAJE</t>
  </si>
  <si>
    <t>3780</t>
  </si>
  <si>
    <t>3781</t>
  </si>
  <si>
    <t>SERVICIOS INTEGRALES DE TRASLADO Y VIÁTICOS NACIONALES PARA LAS Y LOS SERVIDORES PÚBLICOS EN EL DESEMPEÑO DE COMISIONES Y FUNCIONES OFICIALES</t>
  </si>
  <si>
    <t>3782</t>
  </si>
  <si>
    <t>SERVICIOS INTEGRALES DE TRASLADO Y VIÁTICOS EN EL EXTRANJERO PARA LAS Y LOS SERVIDORES PÚBLICOS EN EL DESEMPEÑO DE COMISIONES Y FUNCIONES OFICIALES</t>
  </si>
  <si>
    <t>3790</t>
  </si>
  <si>
    <t>3791</t>
  </si>
  <si>
    <t>OTROS SERVICIOS DE TRASLADO Y HOSPEDAJE</t>
  </si>
  <si>
    <t>3800</t>
  </si>
  <si>
    <t>3810</t>
  </si>
  <si>
    <t>3811</t>
  </si>
  <si>
    <t>GASTOS DE CEREMONIAL</t>
  </si>
  <si>
    <t>3820</t>
  </si>
  <si>
    <t>3821</t>
  </si>
  <si>
    <t>GASTOS DE ORDEN SOCIAL</t>
  </si>
  <si>
    <t>3822</t>
  </si>
  <si>
    <t>GASTOS DE ORDEN CULTURAL</t>
  </si>
  <si>
    <t>3830</t>
  </si>
  <si>
    <t>3831</t>
  </si>
  <si>
    <t>CONGRESOS Y CONVENCIONES</t>
  </si>
  <si>
    <t>3840</t>
  </si>
  <si>
    <t>3841</t>
  </si>
  <si>
    <t>EXPOSICIONES</t>
  </si>
  <si>
    <t>3850</t>
  </si>
  <si>
    <t>3851</t>
  </si>
  <si>
    <t>GASTOS DE REPRESENTACIÓN</t>
  </si>
  <si>
    <t>3900</t>
  </si>
  <si>
    <t>3910</t>
  </si>
  <si>
    <t>3911</t>
  </si>
  <si>
    <t>SERVICIOS FUNERARIOS Y DE CEMENTERIOS</t>
  </si>
  <si>
    <t>3920</t>
  </si>
  <si>
    <t>3921</t>
  </si>
  <si>
    <t>OTROS IMPUESTOS Y DERECHOS</t>
  </si>
  <si>
    <t>3922</t>
  </si>
  <si>
    <t>IMPUESTOS Y DERECHOS DE EXPORTACIÓN</t>
  </si>
  <si>
    <t>3930</t>
  </si>
  <si>
    <t>3931</t>
  </si>
  <si>
    <t>IMPUESTOS Y DERECHOS DE IMPORTACIÓN</t>
  </si>
  <si>
    <t>3940</t>
  </si>
  <si>
    <t>3942</t>
  </si>
  <si>
    <t>INDEMNIZACIONES POR EXPROPIACIONES</t>
  </si>
  <si>
    <t>3943</t>
  </si>
  <si>
    <t>OTRAS EROGACIONES POR RESOLUCIONES DE AUTORIDAD COMPETENTE</t>
  </si>
  <si>
    <t>3950</t>
  </si>
  <si>
    <t>3951</t>
  </si>
  <si>
    <t>PENAS, MULTAS, ACCESORIOS Y ACTUALIZACIONES</t>
  </si>
  <si>
    <t>3960</t>
  </si>
  <si>
    <t>3961</t>
  </si>
  <si>
    <t>PÉRDIDAS DEL ERARIO ESTATAL</t>
  </si>
  <si>
    <t>3962</t>
  </si>
  <si>
    <t>OTROS GASTOS POR RESPONSABILIDADES</t>
  </si>
  <si>
    <t>3990</t>
  </si>
  <si>
    <t>3991</t>
  </si>
  <si>
    <t>GASTOS POR ACTIVIDADES DE COORDINACIÓN CON EL GOBERNADOR ELECTO</t>
  </si>
  <si>
    <t>3992</t>
  </si>
  <si>
    <t>SUBCONTRATACIÓN DE SERVICIOS CON TERCEROS</t>
  </si>
  <si>
    <t>3993</t>
  </si>
  <si>
    <t>OTROS SERVICIOS GENERALES</t>
  </si>
  <si>
    <t>4300</t>
  </si>
  <si>
    <t>4310</t>
  </si>
  <si>
    <t>4311</t>
  </si>
  <si>
    <t>SUBSIDIOS A PROYECTOS PRODUCTIVOS PARA EL SECTOR PRIMARIO</t>
  </si>
  <si>
    <t>4312</t>
  </si>
  <si>
    <t>OTROS SUBSIDIOS A LA PRODUCCIÓN</t>
  </si>
  <si>
    <t>4320</t>
  </si>
  <si>
    <t>4321</t>
  </si>
  <si>
    <t>FOMENTO A PROYECTOS DE COMERCIALIZACIÓN Y DISTRIBUCIÓN</t>
  </si>
  <si>
    <t>4330</t>
  </si>
  <si>
    <t>4331</t>
  </si>
  <si>
    <t>SUBSIDIO A LA INVERSIÓN ECONÓMICA EN EL ESTADO</t>
  </si>
  <si>
    <t>4332</t>
  </si>
  <si>
    <t>SUBSIDIO A LA ACTIVIDAD TURÍSTICA EN EL ESTADO</t>
  </si>
  <si>
    <t>4333</t>
  </si>
  <si>
    <t>OTROS SUBSIDIOS A LA INVERSIÓN</t>
  </si>
  <si>
    <t>4340</t>
  </si>
  <si>
    <t>4341</t>
  </si>
  <si>
    <t>SUBSIDIOS A LA PRESTACIÓN DE SERVICIOS PÚBLICOS</t>
  </si>
  <si>
    <t>4360</t>
  </si>
  <si>
    <t>4361</t>
  </si>
  <si>
    <t>SUBSIDIOS PARA LA ADQUISICIÓN DE VIVIENDA DE INTERÉS SOCIAL</t>
  </si>
  <si>
    <t>4370</t>
  </si>
  <si>
    <t>4371</t>
  </si>
  <si>
    <t>SUBVENCIONES AL CONSUMO</t>
  </si>
  <si>
    <t>4380</t>
  </si>
  <si>
    <t>4381</t>
  </si>
  <si>
    <t>SUBSIDIOS A MUNICIPIOS</t>
  </si>
  <si>
    <t>4382</t>
  </si>
  <si>
    <t>SUBSIDIOS A MUNICIPIOS PARA INVERSIÓN PÚBLICA CON PARI PASSU</t>
  </si>
  <si>
    <t>4383</t>
  </si>
  <si>
    <t>SUBSIDIOS A MUNICIPIOS PARA SERVICIOS PÚBLICOS CON PARI PASSU</t>
  </si>
  <si>
    <t>4384</t>
  </si>
  <si>
    <t>SUBSIDIOS A MUNICIPIOS PARA INVERSIÓN PÚBLICA</t>
  </si>
  <si>
    <t>4390</t>
  </si>
  <si>
    <t>4391</t>
  </si>
  <si>
    <t>OTROS SUBSIDIOS</t>
  </si>
  <si>
    <t>4400</t>
  </si>
  <si>
    <t>4410</t>
  </si>
  <si>
    <t>4411</t>
  </si>
  <si>
    <t>AYUDA A PRELIBERADOS Y MENORES INFRACTORES</t>
  </si>
  <si>
    <t>4412</t>
  </si>
  <si>
    <t>AYUDA PARA GASTOS POR SERVICIOS DE TRASLADO DE PERSONAS</t>
  </si>
  <si>
    <t>4413</t>
  </si>
  <si>
    <t>AYUDAS EN MATERIA DE SALUD</t>
  </si>
  <si>
    <t>4414</t>
  </si>
  <si>
    <t>AYUDAS EN MATERIA DE MIGRACIÓN</t>
  </si>
  <si>
    <t>4415</t>
  </si>
  <si>
    <t>AYUDAS EN MATERIA DE BIENESTAR</t>
  </si>
  <si>
    <t>4416</t>
  </si>
  <si>
    <t>AYUDAS EN MATERIA DE ALIMENTACIÓN</t>
  </si>
  <si>
    <t>4417</t>
  </si>
  <si>
    <t>AYUDAS EN MATERIA DE FORMACIÓN EDUCATIVA Y CULTURAL</t>
  </si>
  <si>
    <t>4418</t>
  </si>
  <si>
    <t>AYUDA EN MATERIA DE DESARROLLO TERRITORIAL Y URBANO</t>
  </si>
  <si>
    <t>4420</t>
  </si>
  <si>
    <t>4421</t>
  </si>
  <si>
    <t>AYUDAS PARA CAPACITACIÓN Y BECAS</t>
  </si>
  <si>
    <t>4422</t>
  </si>
  <si>
    <t>AYUDAS A PROYECTOS CULTURALES Y ARTÍSTICOS</t>
  </si>
  <si>
    <t>4430</t>
  </si>
  <si>
    <t>4431</t>
  </si>
  <si>
    <t>AYUDAS PARA EL DESARROLLO EDUCATIVO</t>
  </si>
  <si>
    <t>4440</t>
  </si>
  <si>
    <t>4441</t>
  </si>
  <si>
    <t>APOYOS A ACTIVIDADES ACADÉMICAS O CIENTÍFICAS, AL DESARROLLO TECNOLÓGICO Y LA INNOVACIÓN</t>
  </si>
  <si>
    <t>4442</t>
  </si>
  <si>
    <t>APOYOS PARA LA INVESTIGACIÓN Y CONSERVACIÓN DEL PATRIMONIO CULTURAL</t>
  </si>
  <si>
    <t>4450</t>
  </si>
  <si>
    <t>4451</t>
  </si>
  <si>
    <t>AYUDAS SOCIALES A INSTITUCIONES CULTURALES SIN FINES DE LUCRO</t>
  </si>
  <si>
    <t>4452</t>
  </si>
  <si>
    <t>AYUDAS SOCIALES A INSTITUCIONES DEPORTIVAS SIN FINES DE LUCRO</t>
  </si>
  <si>
    <t>4453</t>
  </si>
  <si>
    <t>AYUDAS SOCIALES A INSTITUCIONES EDUCATIVAS SIN FINES DE LUCRO</t>
  </si>
  <si>
    <t>4454</t>
  </si>
  <si>
    <t>AYUDAS SOCIALES A INSTITUCIONES DE SALUD SIN FINES DE LUCRO</t>
  </si>
  <si>
    <t>4455</t>
  </si>
  <si>
    <t>AYUDAS SOCIALES A OTRAS INSTITUCIONES SIN FINES DE LUCRO NO COMPRENDIDAS EN LAS ANTERIORES</t>
  </si>
  <si>
    <t>4460</t>
  </si>
  <si>
    <t>4461</t>
  </si>
  <si>
    <t>AYUDAS SOCIALES A COOPERATIVAS</t>
  </si>
  <si>
    <t>4470</t>
  </si>
  <si>
    <t>4471</t>
  </si>
  <si>
    <t>PRERROGATIVAS A PARTIDOS POLÍTICOS</t>
  </si>
  <si>
    <t>4480</t>
  </si>
  <si>
    <t>4481</t>
  </si>
  <si>
    <t>AYUDAS POR DESASTRES NATURALES</t>
  </si>
  <si>
    <t>4482</t>
  </si>
  <si>
    <t>AYUDAS POR OTROS SINIESTROS</t>
  </si>
  <si>
    <t>4500</t>
  </si>
  <si>
    <t>4510</t>
  </si>
  <si>
    <t>4511</t>
  </si>
  <si>
    <t>PENSIONES</t>
  </si>
  <si>
    <t>4520</t>
  </si>
  <si>
    <t>4521</t>
  </si>
  <si>
    <t>JUBILACIONES</t>
  </si>
  <si>
    <t>4590</t>
  </si>
  <si>
    <t>4591</t>
  </si>
  <si>
    <t>OTRAS PENSIONES Y JUBILACIONES</t>
  </si>
  <si>
    <t>4600</t>
  </si>
  <si>
    <t>4610</t>
  </si>
  <si>
    <t>4611</t>
  </si>
  <si>
    <t>TRANSFERENCIAS A FIDEICOMISOS DEL PODER EJECUTIVO</t>
  </si>
  <si>
    <t>4650</t>
  </si>
  <si>
    <t>4651</t>
  </si>
  <si>
    <t>TRANSFERENCIAS A FIDEICOMISOS PÚBLICOS DE ENTIDADES PARAESTATALES EMPRESARIALES Y NO FINANCIERAS</t>
  </si>
  <si>
    <t>4660</t>
  </si>
  <si>
    <t>4661</t>
  </si>
  <si>
    <t>TRANSFERENCIAS A FIDEICOMISOS DE INSTITUCIONES PÚBLICAS FINANCIERAS</t>
  </si>
  <si>
    <t>4690</t>
  </si>
  <si>
    <t>4691</t>
  </si>
  <si>
    <t>OTRAS TRANSFERENCIAS A FIDEICOMISOS</t>
  </si>
  <si>
    <t>4700</t>
  </si>
  <si>
    <t>4710</t>
  </si>
  <si>
    <t>4711</t>
  </si>
  <si>
    <t>TRANSFERENCIAS POR OBLIGACIN DE LEY</t>
  </si>
  <si>
    <t>4800</t>
  </si>
  <si>
    <t>4810</t>
  </si>
  <si>
    <t>4811</t>
  </si>
  <si>
    <t>DONATIVOS A INSTITUCIONES CULTURALES SIN FINES DE LUCRO</t>
  </si>
  <si>
    <t>4812</t>
  </si>
  <si>
    <t>DONATIVOS A INSTITUCIONES DEPORTIVAS SIN FINES DE LUCRO</t>
  </si>
  <si>
    <t>4813</t>
  </si>
  <si>
    <t>DONATIVOS A INSTITUCIONES EDUCATIVAS SIN FINES DE LUCRO</t>
  </si>
  <si>
    <t>4814</t>
  </si>
  <si>
    <t>DONATIVOS A INSTITUCIONES DE SALUD SIN FINES DE LUCRO</t>
  </si>
  <si>
    <t>4815</t>
  </si>
  <si>
    <t>DONATIVOS A OTRAS INSTITUCIONES SIN FINES DE LUCRO NO COMPRENDIDAS EN LAS ANTERIORES</t>
  </si>
  <si>
    <t>4820</t>
  </si>
  <si>
    <t>4821</t>
  </si>
  <si>
    <t>DONATIVOS A ENTIDADES FEDERATIVAS O MUNICIPIOS</t>
  </si>
  <si>
    <t>4850</t>
  </si>
  <si>
    <t>4851</t>
  </si>
  <si>
    <t>DONATIVOS INTERNACIONALES</t>
  </si>
  <si>
    <t>5100</t>
  </si>
  <si>
    <t>5110</t>
  </si>
  <si>
    <t>5111</t>
  </si>
  <si>
    <t>MUEBLES DE OFICINA Y ESTANTERÍA</t>
  </si>
  <si>
    <t>5120</t>
  </si>
  <si>
    <t>5121</t>
  </si>
  <si>
    <t>MUEBLES, EXCEPTO DE OFICINA Y ESTANTERÍA</t>
  </si>
  <si>
    <t>5130</t>
  </si>
  <si>
    <t>5131</t>
  </si>
  <si>
    <t>BIENES ARTÍSTICOS, CULTURALES Y CIENTÍFICOS</t>
  </si>
  <si>
    <t>5140</t>
  </si>
  <si>
    <t>5141</t>
  </si>
  <si>
    <t>OBJETOS DE VALOR</t>
  </si>
  <si>
    <t>5150</t>
  </si>
  <si>
    <t>5151</t>
  </si>
  <si>
    <t>EQUIPO DE CÓMPUTO Y DE TECNOLOGÍA DE LA INFORMACIÓN</t>
  </si>
  <si>
    <t>5190</t>
  </si>
  <si>
    <t>5191</t>
  </si>
  <si>
    <t>OTROS MOBILIARIOS Y EQUIPOS DE ADMINISTRACIÓN</t>
  </si>
  <si>
    <t>5192</t>
  </si>
  <si>
    <t>ADJUDICACIONES, INDEMNIZACIONES Y EXPROPIACIONES DE BIENES MUEBLES</t>
  </si>
  <si>
    <t>5200</t>
  </si>
  <si>
    <t>5210</t>
  </si>
  <si>
    <t>5211</t>
  </si>
  <si>
    <t>EQUIPOS Y APARATOS AUDIOVISUALES</t>
  </si>
  <si>
    <t>5220</t>
  </si>
  <si>
    <t>5221</t>
  </si>
  <si>
    <t>APARATOS DEPORTIVOS</t>
  </si>
  <si>
    <t>5230</t>
  </si>
  <si>
    <t>5231</t>
  </si>
  <si>
    <t>CÁMARAS FOTOGRÁFICAS Y DE VIDEO</t>
  </si>
  <si>
    <t>5290</t>
  </si>
  <si>
    <t>5291</t>
  </si>
  <si>
    <t>OTRO MOBILIARIO Y EQUIPO EDUCACIONAL Y RECREATIVO</t>
  </si>
  <si>
    <t>5300</t>
  </si>
  <si>
    <t>5310</t>
  </si>
  <si>
    <t>5311</t>
  </si>
  <si>
    <t>EQUIPO MÉDICO Y DE LABORATORIO</t>
  </si>
  <si>
    <t>5320</t>
  </si>
  <si>
    <t>5321</t>
  </si>
  <si>
    <t>INSTRUMENTAL MÉDICO Y DE LABORATORIO</t>
  </si>
  <si>
    <t>5400</t>
  </si>
  <si>
    <t>5410</t>
  </si>
  <si>
    <t>5411</t>
  </si>
  <si>
    <t>VEHÍCULOS Y EQUIPO TERRESTRE, DESTINADOS A SERVICIOS PÚBLICOS Y A LA OPERACIÓN DE PROGRAMAS PÚBLICOS</t>
  </si>
  <si>
    <t>5412</t>
  </si>
  <si>
    <t>VEHÍCULOS Y EQUIPO TERRESTRE, DESTINADOS A SERVICIOS ADMINISTRATIVOS</t>
  </si>
  <si>
    <t>5413</t>
  </si>
  <si>
    <t>VEHÍCULOS Y EQUIPO TERRESTRE, DESTINADOS EXCLUSIVAMENTE PARA DESASTRES NATURALES</t>
  </si>
  <si>
    <t>5414</t>
  </si>
  <si>
    <t>VEHÍCULOS Y EQUIPO TERRESTRE, DESTINADOS A SERVIDORES PÚBLICOS</t>
  </si>
  <si>
    <t>5420</t>
  </si>
  <si>
    <t>5421</t>
  </si>
  <si>
    <t>CARROCERÍAS, REMOLQUES Y EQUIPO AUXILIAR DE TRANSPORTE</t>
  </si>
  <si>
    <t>5430</t>
  </si>
  <si>
    <t>5431</t>
  </si>
  <si>
    <t>VEHÍCULOS Y EQUIPOS AÉREOS, DESTINADOS A SERVICIOS PÚBLICOS Y A LA OPERACIÓN DE PROGRAMAS PÚBLICOS</t>
  </si>
  <si>
    <t>5432</t>
  </si>
  <si>
    <t>VEHÍCULOS Y EQUIPOS AÉREOS, DESTINADOS EXCLUSIVAMENTE PARA DESASTRES NATURALES</t>
  </si>
  <si>
    <t>5440</t>
  </si>
  <si>
    <t>5441</t>
  </si>
  <si>
    <t>EQUIPO FERROVIARIO</t>
  </si>
  <si>
    <t>5450</t>
  </si>
  <si>
    <t>5451</t>
  </si>
  <si>
    <t>EMBARCACIONES DESTINADAS A SERVICIOS PÚBLICOS Y A LA OPERACIÓN DE PROGRAMAS PÚBLICOS</t>
  </si>
  <si>
    <t>5452</t>
  </si>
  <si>
    <t>CONSTRUCCIÓN DE EMBARCACIONES</t>
  </si>
  <si>
    <t>5490</t>
  </si>
  <si>
    <t>5491</t>
  </si>
  <si>
    <t>OTROS EQUIPOS DE TRANSPORTE</t>
  </si>
  <si>
    <t>5500</t>
  </si>
  <si>
    <t>5510</t>
  </si>
  <si>
    <t>5511</t>
  </si>
  <si>
    <t>EQUIPO DE DEFENSA Y SEGURIDAD</t>
  </si>
  <si>
    <t>5600</t>
  </si>
  <si>
    <t>5610</t>
  </si>
  <si>
    <t>5611</t>
  </si>
  <si>
    <t>MAQUINARIA Y EQUIPO AGROPECUARIO</t>
  </si>
  <si>
    <t>5620</t>
  </si>
  <si>
    <t>5621</t>
  </si>
  <si>
    <t>MAQUINARIA Y EQUIPO INDUSTRIAL</t>
  </si>
  <si>
    <t>5630</t>
  </si>
  <si>
    <t>5631</t>
  </si>
  <si>
    <t>MAQUINARIA Y EQUIPO DE CONSTRUCCIÓN</t>
  </si>
  <si>
    <t>5640</t>
  </si>
  <si>
    <t>5641</t>
  </si>
  <si>
    <t>SISTEMAS DE AIRE ACONDICIONADO, CALEFACCIÓN Y DE REFRIGERACIÓN INDUSTRIAL Y COMERCIAL</t>
  </si>
  <si>
    <t>5650</t>
  </si>
  <si>
    <t>5651</t>
  </si>
  <si>
    <t>EQUIPOS DE COMUNICACIÓN Y TELECOMUNICACIÓN</t>
  </si>
  <si>
    <t>5660</t>
  </si>
  <si>
    <t>5661</t>
  </si>
  <si>
    <t>EQUIPO DE GENERACIÓN ELÉCTRICA, APARATOS Y ACCESORIOS ELÉCTRICOS</t>
  </si>
  <si>
    <t>5670</t>
  </si>
  <si>
    <t>5671</t>
  </si>
  <si>
    <t>HERRAMIENTAS Y MÁQUINAS-HERRAMIENTA</t>
  </si>
  <si>
    <t>5672</t>
  </si>
  <si>
    <t>REFACCIONES Y ACCESORIOS MAYORES</t>
  </si>
  <si>
    <t>5690</t>
  </si>
  <si>
    <t>5691</t>
  </si>
  <si>
    <t>EQUIPO PARA SEMAFORIZACIÓN</t>
  </si>
  <si>
    <t>5692</t>
  </si>
  <si>
    <t>EQUIPO DE INGENIERÍA Y DISEÑO</t>
  </si>
  <si>
    <t>5693</t>
  </si>
  <si>
    <t>BIENES MUEBLES POR ARRENDAMIENTO FINANCIERO</t>
  </si>
  <si>
    <t>5694</t>
  </si>
  <si>
    <t>MAQUINARIA Y EQUIPO PARA CREMACIÓN HUMANA Y ANIMAL E INCINERACIÓN DE MATERIALES DE CEMENTERIO</t>
  </si>
  <si>
    <t>5695</t>
  </si>
  <si>
    <t>MAQUINARIA Y EQUIPO DIVERSO</t>
  </si>
  <si>
    <t>5700</t>
  </si>
  <si>
    <t>5710</t>
  </si>
  <si>
    <t>5711</t>
  </si>
  <si>
    <t>BOVINOS</t>
  </si>
  <si>
    <t>5720</t>
  </si>
  <si>
    <t>5721</t>
  </si>
  <si>
    <t>PORCINOS</t>
  </si>
  <si>
    <t>5730</t>
  </si>
  <si>
    <t>5731</t>
  </si>
  <si>
    <t>AVES</t>
  </si>
  <si>
    <t>5740</t>
  </si>
  <si>
    <t>5741</t>
  </si>
  <si>
    <t>OVINOS Y CAPRINOS</t>
  </si>
  <si>
    <t>5750</t>
  </si>
  <si>
    <t>5751</t>
  </si>
  <si>
    <t>PECES Y ACUICULTURA</t>
  </si>
  <si>
    <t>5760</t>
  </si>
  <si>
    <t>5761</t>
  </si>
  <si>
    <t>EQUINOS</t>
  </si>
  <si>
    <t>5770</t>
  </si>
  <si>
    <t>5771</t>
  </si>
  <si>
    <t>ESPECIES MENORES Y DE ZOOLÓGICO</t>
  </si>
  <si>
    <t>5780</t>
  </si>
  <si>
    <t>5781</t>
  </si>
  <si>
    <t>ÁRBOLES Y PLANTAS</t>
  </si>
  <si>
    <t>5790</t>
  </si>
  <si>
    <t>5791</t>
  </si>
  <si>
    <t>OTROS ACTIVOS BIOLÓGICOS</t>
  </si>
  <si>
    <t>5800</t>
  </si>
  <si>
    <t>5810</t>
  </si>
  <si>
    <t>5811</t>
  </si>
  <si>
    <t>TERRENOS</t>
  </si>
  <si>
    <t>5820</t>
  </si>
  <si>
    <t>5821</t>
  </si>
  <si>
    <t>VIVIENDAS</t>
  </si>
  <si>
    <t>5830</t>
  </si>
  <si>
    <t>5831</t>
  </si>
  <si>
    <t>EDIFICIOS NO RESIDENCIALES</t>
  </si>
  <si>
    <t>5890</t>
  </si>
  <si>
    <t>5891</t>
  </si>
  <si>
    <t>OTROS BIENES INMUEBLES</t>
  </si>
  <si>
    <t>5900</t>
  </si>
  <si>
    <t>5910</t>
  </si>
  <si>
    <t>5911</t>
  </si>
  <si>
    <t>SOFTWARE</t>
  </si>
  <si>
    <t>5920</t>
  </si>
  <si>
    <t>5921</t>
  </si>
  <si>
    <t>PATENTES</t>
  </si>
  <si>
    <t>5930</t>
  </si>
  <si>
    <t>5931</t>
  </si>
  <si>
    <t>MARCAS</t>
  </si>
  <si>
    <t>5940</t>
  </si>
  <si>
    <t>5941</t>
  </si>
  <si>
    <t>DERECHOS</t>
  </si>
  <si>
    <t>5950</t>
  </si>
  <si>
    <t>5951</t>
  </si>
  <si>
    <t>CONCESIONES</t>
  </si>
  <si>
    <t>5970</t>
  </si>
  <si>
    <t>5971</t>
  </si>
  <si>
    <t>LICENCIAS INFORMÁTICAS E INTELECTUALES</t>
  </si>
  <si>
    <t>5980</t>
  </si>
  <si>
    <t>5981</t>
  </si>
  <si>
    <t>LICENCIAS INDUSTRIALES, COMERCIALES Y OTRAS</t>
  </si>
  <si>
    <t>5990</t>
  </si>
  <si>
    <t>5991</t>
  </si>
  <si>
    <t>OTROS ACTIVOS INTANGIBLES</t>
  </si>
  <si>
    <t>ESTADO</t>
  </si>
  <si>
    <t>MUNICIPIO</t>
  </si>
  <si>
    <t>ACAJETE</t>
  </si>
  <si>
    <t>ACATENO</t>
  </si>
  <si>
    <t>ACATLÁN</t>
  </si>
  <si>
    <t>ACATZINGO</t>
  </si>
  <si>
    <t>ACTEOPAN</t>
  </si>
  <si>
    <t>AHUACATLÁN</t>
  </si>
  <si>
    <t>AHUATLÁN</t>
  </si>
  <si>
    <t>AHUAZOTEPEC</t>
  </si>
  <si>
    <t>AHUEHUETITLA</t>
  </si>
  <si>
    <t>010</t>
  </si>
  <si>
    <t>AJALPAN</t>
  </si>
  <si>
    <t>011</t>
  </si>
  <si>
    <t>ALBINO ZERTUCHE</t>
  </si>
  <si>
    <t>ALJOJUCA</t>
  </si>
  <si>
    <t>013</t>
  </si>
  <si>
    <t>ALTEPEXI</t>
  </si>
  <si>
    <t>014</t>
  </si>
  <si>
    <t>AMIXTLÁN</t>
  </si>
  <si>
    <t>015</t>
  </si>
  <si>
    <t>AMOZOC</t>
  </si>
  <si>
    <t>016</t>
  </si>
  <si>
    <t>AQUIXTLA</t>
  </si>
  <si>
    <t>ATEMPAN</t>
  </si>
  <si>
    <t>ATEXCAL</t>
  </si>
  <si>
    <t>ATLIXCO</t>
  </si>
  <si>
    <t>020</t>
  </si>
  <si>
    <t>ATOYATEMPAN</t>
  </si>
  <si>
    <t>ATZALA</t>
  </si>
  <si>
    <t>ATZITZIHUACÁN</t>
  </si>
  <si>
    <t>ATZITZINTLA</t>
  </si>
  <si>
    <t>024</t>
  </si>
  <si>
    <t>AXUTLA</t>
  </si>
  <si>
    <t>025</t>
  </si>
  <si>
    <t>AYOTOXCO DE GUERRERO</t>
  </si>
  <si>
    <t>CALPAN</t>
  </si>
  <si>
    <t>CALTEPEC</t>
  </si>
  <si>
    <t>CAMOCUAUTLA</t>
  </si>
  <si>
    <t>029</t>
  </si>
  <si>
    <t>CAXHUACAN</t>
  </si>
  <si>
    <t>030</t>
  </si>
  <si>
    <t>COATEPEC</t>
  </si>
  <si>
    <t>COATZINGO</t>
  </si>
  <si>
    <t>COHETZALA</t>
  </si>
  <si>
    <t>033</t>
  </si>
  <si>
    <t>COHUECAN</t>
  </si>
  <si>
    <t>034</t>
  </si>
  <si>
    <t>CORONANGO</t>
  </si>
  <si>
    <t>COXCATLÁN</t>
  </si>
  <si>
    <t>COYOMEAPAN</t>
  </si>
  <si>
    <t>037</t>
  </si>
  <si>
    <t>COYOTEPEC</t>
  </si>
  <si>
    <t>038</t>
  </si>
  <si>
    <t>CUAPIAXTLA DE MADERO</t>
  </si>
  <si>
    <t>039</t>
  </si>
  <si>
    <t>CUAUTEMPAN</t>
  </si>
  <si>
    <t>040</t>
  </si>
  <si>
    <t>CUAUTINCHÁN</t>
  </si>
  <si>
    <t>041</t>
  </si>
  <si>
    <t>CUAUTLANCINGO</t>
  </si>
  <si>
    <t>042</t>
  </si>
  <si>
    <t>CUAYUCA DE ANDRADE</t>
  </si>
  <si>
    <t>043</t>
  </si>
  <si>
    <t>CUETZALAN DEL PROGRESO</t>
  </si>
  <si>
    <t>044</t>
  </si>
  <si>
    <t>CUYOACO</t>
  </si>
  <si>
    <t>045</t>
  </si>
  <si>
    <t>CHALCHICOMULA DE SESMA</t>
  </si>
  <si>
    <t>046</t>
  </si>
  <si>
    <t>CHAPULCO</t>
  </si>
  <si>
    <t>047</t>
  </si>
  <si>
    <t>CHIAUTLA</t>
  </si>
  <si>
    <t>048</t>
  </si>
  <si>
    <t>CHIAUTZINGO</t>
  </si>
  <si>
    <t>049</t>
  </si>
  <si>
    <t>CHICONCUAUTLA</t>
  </si>
  <si>
    <t>050</t>
  </si>
  <si>
    <t>CHICHIQUILA</t>
  </si>
  <si>
    <t>051</t>
  </si>
  <si>
    <t>CHIETLA</t>
  </si>
  <si>
    <t>052</t>
  </si>
  <si>
    <t>CHIGMECATITLÁN</t>
  </si>
  <si>
    <t>053</t>
  </si>
  <si>
    <t>CHIGNAHUAPAN</t>
  </si>
  <si>
    <t>054</t>
  </si>
  <si>
    <t>CHIGNAUTLA</t>
  </si>
  <si>
    <t>055</t>
  </si>
  <si>
    <t>CHILA</t>
  </si>
  <si>
    <t>056</t>
  </si>
  <si>
    <t>CHILA DE LA SAL</t>
  </si>
  <si>
    <t>057</t>
  </si>
  <si>
    <t>HONEY</t>
  </si>
  <si>
    <t>058</t>
  </si>
  <si>
    <t>CHILCHOTLA</t>
  </si>
  <si>
    <t>059</t>
  </si>
  <si>
    <t>CHINANTLA</t>
  </si>
  <si>
    <t>060</t>
  </si>
  <si>
    <t>DOMINGO ARENAS</t>
  </si>
  <si>
    <t>061</t>
  </si>
  <si>
    <t>ELOXOCHITLÁN</t>
  </si>
  <si>
    <t>062</t>
  </si>
  <si>
    <t>EPATLÁN</t>
  </si>
  <si>
    <t>063</t>
  </si>
  <si>
    <t>ESPERANZA</t>
  </si>
  <si>
    <t>064</t>
  </si>
  <si>
    <t>FRANCISCO Z. MENA</t>
  </si>
  <si>
    <t>065</t>
  </si>
  <si>
    <t>GENERAL FELIPE ÁNGELES</t>
  </si>
  <si>
    <t>066</t>
  </si>
  <si>
    <t>GUADALUPE</t>
  </si>
  <si>
    <t>067</t>
  </si>
  <si>
    <t>GUADALUPE VICTORIA</t>
  </si>
  <si>
    <t>068</t>
  </si>
  <si>
    <t>HERMENEGILDO GALEANA</t>
  </si>
  <si>
    <t>069</t>
  </si>
  <si>
    <t>HUAQUECHULA</t>
  </si>
  <si>
    <t>070</t>
  </si>
  <si>
    <t>HUATLATLAUCA</t>
  </si>
  <si>
    <t>071</t>
  </si>
  <si>
    <t>HUAUCHINANGO</t>
  </si>
  <si>
    <t>072</t>
  </si>
  <si>
    <t>HUEHUETLA</t>
  </si>
  <si>
    <t>073</t>
  </si>
  <si>
    <t>HUEHUETLÁN EL CHICO</t>
  </si>
  <si>
    <t>074</t>
  </si>
  <si>
    <t>HUEJOTZINGO</t>
  </si>
  <si>
    <t>075</t>
  </si>
  <si>
    <t>HUEYAPAN</t>
  </si>
  <si>
    <t>076</t>
  </si>
  <si>
    <t>HUEYTAMALCO</t>
  </si>
  <si>
    <t>077</t>
  </si>
  <si>
    <t>HUEYTLALPAN</t>
  </si>
  <si>
    <t>078</t>
  </si>
  <si>
    <t>HUITZILAN DE SERDÁN</t>
  </si>
  <si>
    <t>079</t>
  </si>
  <si>
    <t>HUITZILTEPEC</t>
  </si>
  <si>
    <t>080</t>
  </si>
  <si>
    <t>ATLEQUIZAYAN</t>
  </si>
  <si>
    <t>081</t>
  </si>
  <si>
    <t>IXCAMILPA DE GUERRERO</t>
  </si>
  <si>
    <t>082</t>
  </si>
  <si>
    <t>IXCAQUIXTLA</t>
  </si>
  <si>
    <t>083</t>
  </si>
  <si>
    <t>IXTACAMAXTITLÁN</t>
  </si>
  <si>
    <t>084</t>
  </si>
  <si>
    <t>IXTEPEC</t>
  </si>
  <si>
    <t>085</t>
  </si>
  <si>
    <t>IZÚCAR DE MATAMOROS</t>
  </si>
  <si>
    <t>086</t>
  </si>
  <si>
    <t>JALPAN</t>
  </si>
  <si>
    <t>087</t>
  </si>
  <si>
    <t>JOLALPAN</t>
  </si>
  <si>
    <t>088</t>
  </si>
  <si>
    <t>JONOTLA</t>
  </si>
  <si>
    <t>089</t>
  </si>
  <si>
    <t>JOPALA</t>
  </si>
  <si>
    <t>090</t>
  </si>
  <si>
    <t>JUAN C. BONILLA</t>
  </si>
  <si>
    <t>091</t>
  </si>
  <si>
    <t>JUAN GALINDO</t>
  </si>
  <si>
    <t>092</t>
  </si>
  <si>
    <t>JUAN N. MÉNDEZ</t>
  </si>
  <si>
    <t>093</t>
  </si>
  <si>
    <t>LAFRAGUA</t>
  </si>
  <si>
    <t>094</t>
  </si>
  <si>
    <t>LIBRES</t>
  </si>
  <si>
    <t>095</t>
  </si>
  <si>
    <t>LA MAGDALENA TLATLAUQUITEPEC</t>
  </si>
  <si>
    <t>096</t>
  </si>
  <si>
    <t>MAZAPILTEPEC DE JUÁREZ</t>
  </si>
  <si>
    <t>097</t>
  </si>
  <si>
    <t>MIXTLA</t>
  </si>
  <si>
    <t>098</t>
  </si>
  <si>
    <t>MOLCAXAC</t>
  </si>
  <si>
    <t>099</t>
  </si>
  <si>
    <t>CAÑADA MORELOS</t>
  </si>
  <si>
    <t>100</t>
  </si>
  <si>
    <t>NAUPAN</t>
  </si>
  <si>
    <t>101</t>
  </si>
  <si>
    <t>NAUZONTLA</t>
  </si>
  <si>
    <t>102</t>
  </si>
  <si>
    <t>NEALTICAN</t>
  </si>
  <si>
    <t>103</t>
  </si>
  <si>
    <t>NICOLÁS BRAVO</t>
  </si>
  <si>
    <t>104</t>
  </si>
  <si>
    <t>NOPALUCAN</t>
  </si>
  <si>
    <t>105</t>
  </si>
  <si>
    <t>OCOTEPEC</t>
  </si>
  <si>
    <t>106</t>
  </si>
  <si>
    <t>OCOYUCAN</t>
  </si>
  <si>
    <t>107</t>
  </si>
  <si>
    <t>OLINTLA</t>
  </si>
  <si>
    <t>108</t>
  </si>
  <si>
    <t>ORIENTAL</t>
  </si>
  <si>
    <t>109</t>
  </si>
  <si>
    <t>PAHUATLÁN</t>
  </si>
  <si>
    <t>110</t>
  </si>
  <si>
    <t>PALMAR DE BRAVO</t>
  </si>
  <si>
    <t>111</t>
  </si>
  <si>
    <t>PANTEPEC</t>
  </si>
  <si>
    <t>112</t>
  </si>
  <si>
    <t>PETLALCINGO</t>
  </si>
  <si>
    <t>113</t>
  </si>
  <si>
    <t>PIAXTLA</t>
  </si>
  <si>
    <t>115</t>
  </si>
  <si>
    <t>QUECHOLAC</t>
  </si>
  <si>
    <t>116</t>
  </si>
  <si>
    <t>QUIMIXTLÁN</t>
  </si>
  <si>
    <t>117</t>
  </si>
  <si>
    <t>RAFAEL LARA GRAJALES</t>
  </si>
  <si>
    <t>118</t>
  </si>
  <si>
    <t>LOS REYES DE JUÁREZ</t>
  </si>
  <si>
    <t>119</t>
  </si>
  <si>
    <t>SAN ANDRÉS CHOLULA</t>
  </si>
  <si>
    <t>120</t>
  </si>
  <si>
    <t>SAN ANTONIO CAÑADA</t>
  </si>
  <si>
    <t>121</t>
  </si>
  <si>
    <t>SAN DIEGO LA MESA TOCHIMILTZINGO</t>
  </si>
  <si>
    <t>122</t>
  </si>
  <si>
    <t>SAN FELIPE TEOTLALCINGO</t>
  </si>
  <si>
    <t>123</t>
  </si>
  <si>
    <t>SAN FELIPE TEPATLÁN</t>
  </si>
  <si>
    <t>124</t>
  </si>
  <si>
    <t>SAN GABRIEL CHILAC</t>
  </si>
  <si>
    <t>125</t>
  </si>
  <si>
    <t>SAN GREGORIO ATZOMPA</t>
  </si>
  <si>
    <t>126</t>
  </si>
  <si>
    <t>SAN JERÓNIMO TECUANIPAN</t>
  </si>
  <si>
    <t>127</t>
  </si>
  <si>
    <t>SAN JERÓNIMO XAYACATLÁN</t>
  </si>
  <si>
    <t>128</t>
  </si>
  <si>
    <t>SAN JOSÉ CHIAPA</t>
  </si>
  <si>
    <t>129</t>
  </si>
  <si>
    <t>SAN JOSÉ MIAHUATLÁN</t>
  </si>
  <si>
    <t>130</t>
  </si>
  <si>
    <t>SAN JUAN ATENCO</t>
  </si>
  <si>
    <t>131</t>
  </si>
  <si>
    <t>SAN JUAN ATZOMPA</t>
  </si>
  <si>
    <t>132</t>
  </si>
  <si>
    <t>SAN MARTÍN TEXMELUCAN</t>
  </si>
  <si>
    <t>133</t>
  </si>
  <si>
    <t>SAN MARTÍN TOTOLTEPEC</t>
  </si>
  <si>
    <t>134</t>
  </si>
  <si>
    <t>SAN MATÍAS TLALANCALECA</t>
  </si>
  <si>
    <t>135</t>
  </si>
  <si>
    <t>SAN MIGUEL IXITLÁN</t>
  </si>
  <si>
    <t>136</t>
  </si>
  <si>
    <t>SAN MIGUEL XOXTLA</t>
  </si>
  <si>
    <t>137</t>
  </si>
  <si>
    <t>SAN NICOLÁS BUENOS AIRES</t>
  </si>
  <si>
    <t>138</t>
  </si>
  <si>
    <t>SAN NICOLÁS DE LOS RANCHOS</t>
  </si>
  <si>
    <t>139</t>
  </si>
  <si>
    <t>SAN PABLO ANICANO</t>
  </si>
  <si>
    <t>140</t>
  </si>
  <si>
    <t>SAN PEDRO CHOLULA</t>
  </si>
  <si>
    <t>141</t>
  </si>
  <si>
    <t>SAN PEDRO YELOIXTLAHUACA</t>
  </si>
  <si>
    <t>142</t>
  </si>
  <si>
    <t>SAN SALVADOR EL SECO</t>
  </si>
  <si>
    <t>143</t>
  </si>
  <si>
    <t>SAN SALVADOR EL VERDE</t>
  </si>
  <si>
    <t>144</t>
  </si>
  <si>
    <t>SAN SALVADOR HUIXCOLOTLA</t>
  </si>
  <si>
    <t>145</t>
  </si>
  <si>
    <t>SAN SEBASTIÁN TLACOTEPEC</t>
  </si>
  <si>
    <t>146</t>
  </si>
  <si>
    <t>SANTA CATARINA TLALTEMPAN</t>
  </si>
  <si>
    <t>147</t>
  </si>
  <si>
    <t>SANTA INÉS AHUATEMPAN</t>
  </si>
  <si>
    <t>148</t>
  </si>
  <si>
    <t>SANTA ISABEL CHOLULA</t>
  </si>
  <si>
    <t>149</t>
  </si>
  <si>
    <t>SANTIAGO MIAHUATLÁN</t>
  </si>
  <si>
    <t>150</t>
  </si>
  <si>
    <t>HUEHUETLÁN EL GRANDE</t>
  </si>
  <si>
    <t>151</t>
  </si>
  <si>
    <t>SANTO TOMÁS HUEYOTLIPAN</t>
  </si>
  <si>
    <t>152</t>
  </si>
  <si>
    <t>SOLTEPEC</t>
  </si>
  <si>
    <t>153</t>
  </si>
  <si>
    <t>TECALI DE HERRERA</t>
  </si>
  <si>
    <t>154</t>
  </si>
  <si>
    <t>TECAMACHALCO</t>
  </si>
  <si>
    <t>155</t>
  </si>
  <si>
    <t>TECOMATLÁN</t>
  </si>
  <si>
    <t>156</t>
  </si>
  <si>
    <t>TEHUACÁN</t>
  </si>
  <si>
    <t>157</t>
  </si>
  <si>
    <t>TEHUITZINGO</t>
  </si>
  <si>
    <t>158</t>
  </si>
  <si>
    <t>TENAMPULCO</t>
  </si>
  <si>
    <t>159</t>
  </si>
  <si>
    <t>TEOPANTLÁN</t>
  </si>
  <si>
    <t>160</t>
  </si>
  <si>
    <t>TEOTLALCO</t>
  </si>
  <si>
    <t>161</t>
  </si>
  <si>
    <t>TEPANCO DE LÓPEZ</t>
  </si>
  <si>
    <t>162</t>
  </si>
  <si>
    <t>TEPANGO DE RODRÍGUEZ</t>
  </si>
  <si>
    <t>163</t>
  </si>
  <si>
    <t>TEPATLAXCO DE HIDALGO</t>
  </si>
  <si>
    <t>164</t>
  </si>
  <si>
    <t>TEPEACA</t>
  </si>
  <si>
    <t>165</t>
  </si>
  <si>
    <t>TEPEMAXALCO</t>
  </si>
  <si>
    <t>166</t>
  </si>
  <si>
    <t>TEPEOJUMA</t>
  </si>
  <si>
    <t>167</t>
  </si>
  <si>
    <t>TEPETZINTLA</t>
  </si>
  <si>
    <t>168</t>
  </si>
  <si>
    <t>TEPEXCO</t>
  </si>
  <si>
    <t>169</t>
  </si>
  <si>
    <t>TEPEXI DE RODRÍGUEZ</t>
  </si>
  <si>
    <t>170</t>
  </si>
  <si>
    <t>TEPEYAHUALCO</t>
  </si>
  <si>
    <t>171</t>
  </si>
  <si>
    <t>TEPEYAHUALCO DE CUAUHTÉMOC</t>
  </si>
  <si>
    <t>172</t>
  </si>
  <si>
    <t>TETELA DE OCAMPO</t>
  </si>
  <si>
    <t>173</t>
  </si>
  <si>
    <t>TETELES DE ÁVILA CASTILLO</t>
  </si>
  <si>
    <t>174</t>
  </si>
  <si>
    <t>TEZIUTLÁN</t>
  </si>
  <si>
    <t>175</t>
  </si>
  <si>
    <t>TIANGUISMANALCO</t>
  </si>
  <si>
    <t>176</t>
  </si>
  <si>
    <t>TILAPA</t>
  </si>
  <si>
    <t>177</t>
  </si>
  <si>
    <t>TLACOTEPEC DE BENITO JUÁREZ</t>
  </si>
  <si>
    <t>178</t>
  </si>
  <si>
    <t>TLACUILOTEPEC</t>
  </si>
  <si>
    <t>179</t>
  </si>
  <si>
    <t>TLACHICHUCA</t>
  </si>
  <si>
    <t>180</t>
  </si>
  <si>
    <t>TLAHUAPAN</t>
  </si>
  <si>
    <t>181</t>
  </si>
  <si>
    <t>TLALTENANGO</t>
  </si>
  <si>
    <t>182</t>
  </si>
  <si>
    <t>TLANEPANTLA</t>
  </si>
  <si>
    <t>183</t>
  </si>
  <si>
    <t>TLAOLA</t>
  </si>
  <si>
    <t>184</t>
  </si>
  <si>
    <t>TLAPACOYA</t>
  </si>
  <si>
    <t>185</t>
  </si>
  <si>
    <t>TLAPANALÁ</t>
  </si>
  <si>
    <t>186</t>
  </si>
  <si>
    <t>TLATLAUQUITEPEC</t>
  </si>
  <si>
    <t>187</t>
  </si>
  <si>
    <t>TLAXCO</t>
  </si>
  <si>
    <t>188</t>
  </si>
  <si>
    <t>TOCHIMILCO</t>
  </si>
  <si>
    <t>189</t>
  </si>
  <si>
    <t>TOCHTEPEC</t>
  </si>
  <si>
    <t>190</t>
  </si>
  <si>
    <t>TOTOLTEPEC DE GUERRERO</t>
  </si>
  <si>
    <t>191</t>
  </si>
  <si>
    <t>TULCINGO</t>
  </si>
  <si>
    <t>192</t>
  </si>
  <si>
    <t>TUZAMAPAN DE GALEANA</t>
  </si>
  <si>
    <t>193</t>
  </si>
  <si>
    <t>TZICATLACOYAN</t>
  </si>
  <si>
    <t>194</t>
  </si>
  <si>
    <t>VENUSTIANO CARRANZA</t>
  </si>
  <si>
    <t>195</t>
  </si>
  <si>
    <t>VICENTE GUERRERO</t>
  </si>
  <si>
    <t>196</t>
  </si>
  <si>
    <t>XAYACATLÁN DE BRAVO</t>
  </si>
  <si>
    <t>197</t>
  </si>
  <si>
    <t>XICOTEPEC</t>
  </si>
  <si>
    <t>198</t>
  </si>
  <si>
    <t>XICOTLÁN</t>
  </si>
  <si>
    <t>199</t>
  </si>
  <si>
    <t>XIUTETELCO</t>
  </si>
  <si>
    <t>200</t>
  </si>
  <si>
    <t>XOCHIAPULCO</t>
  </si>
  <si>
    <t>201</t>
  </si>
  <si>
    <t>XOCHILTEPEC</t>
  </si>
  <si>
    <t>202</t>
  </si>
  <si>
    <t>XOCHITLÁN DE VICENTE SUÁREZ</t>
  </si>
  <si>
    <t>203</t>
  </si>
  <si>
    <t>XOCHITLÁN TODOS SANTOS</t>
  </si>
  <si>
    <t>204</t>
  </si>
  <si>
    <t>YAONÁHUAC</t>
  </si>
  <si>
    <t>205</t>
  </si>
  <si>
    <t>YEHUALTEPEC</t>
  </si>
  <si>
    <t>206</t>
  </si>
  <si>
    <t>ZACAPALA</t>
  </si>
  <si>
    <t>207</t>
  </si>
  <si>
    <t>ZACAPOAXTLA</t>
  </si>
  <si>
    <t>208</t>
  </si>
  <si>
    <t>ZACATLÁN</t>
  </si>
  <si>
    <t>209</t>
  </si>
  <si>
    <t>ZAPOTITLÁN</t>
  </si>
  <si>
    <t>210</t>
  </si>
  <si>
    <t>ZAPOTITLÁN DE MÉNDEZ</t>
  </si>
  <si>
    <t>211</t>
  </si>
  <si>
    <t>ZARAGOZA</t>
  </si>
  <si>
    <t>212</t>
  </si>
  <si>
    <t>ZAUTLA</t>
  </si>
  <si>
    <t>213</t>
  </si>
  <si>
    <t>ZIHUATEUTLA</t>
  </si>
  <si>
    <t>214</t>
  </si>
  <si>
    <t>ZINACATEPEC</t>
  </si>
  <si>
    <t>215</t>
  </si>
  <si>
    <t>ZONGOZOTLA</t>
  </si>
  <si>
    <t>216</t>
  </si>
  <si>
    <t>ZOQUIAPAN</t>
  </si>
  <si>
    <t>217</t>
  </si>
  <si>
    <t>ZOQUITLÁN</t>
  </si>
  <si>
    <t>PUEBLOS ORIGINARIOS</t>
  </si>
  <si>
    <t>01</t>
  </si>
  <si>
    <t>MAZATECO</t>
  </si>
  <si>
    <t>02</t>
  </si>
  <si>
    <t>MIXTECO</t>
  </si>
  <si>
    <t>03</t>
  </si>
  <si>
    <t>NÁHUATL</t>
  </si>
  <si>
    <t>04</t>
  </si>
  <si>
    <t>OTOMÍ</t>
  </si>
  <si>
    <t>05</t>
  </si>
  <si>
    <t>POPOLOCA</t>
  </si>
  <si>
    <t>06</t>
  </si>
  <si>
    <t>TEPEHUA</t>
  </si>
  <si>
    <t>07</t>
  </si>
  <si>
    <t>TOTONACO</t>
  </si>
  <si>
    <t>REGIÓN</t>
  </si>
  <si>
    <t>08</t>
  </si>
  <si>
    <t>09</t>
  </si>
  <si>
    <t>CIUDAD SERDÁN</t>
  </si>
  <si>
    <t>10</t>
  </si>
  <si>
    <t>11</t>
  </si>
  <si>
    <t>12</t>
  </si>
  <si>
    <t>13</t>
  </si>
  <si>
    <t>PUEBLA CAPITAL</t>
  </si>
  <si>
    <t>14</t>
  </si>
  <si>
    <t>15</t>
  </si>
  <si>
    <t>16</t>
  </si>
  <si>
    <t>17</t>
  </si>
  <si>
    <t>18</t>
  </si>
  <si>
    <t>CHOLULA</t>
  </si>
  <si>
    <t>19</t>
  </si>
  <si>
    <t>20</t>
  </si>
  <si>
    <t>23</t>
  </si>
  <si>
    <t>ACATLÁN DE OSORIO</t>
  </si>
  <si>
    <t>24</t>
  </si>
  <si>
    <t>25</t>
  </si>
  <si>
    <t>26</t>
  </si>
  <si>
    <t>27</t>
  </si>
  <si>
    <t>26-22-138-DA3Q-1-8-5-E088-00-200-1-5-1-115-002-2141-1-16-114-000000</t>
  </si>
  <si>
    <t>26-22-138-DA3Q-1-8-5-E088-00-200-1-5-1-115-004-2941-1-16-114-000000</t>
  </si>
  <si>
    <t>26-22-138-DA3Q-1-8-5-E088-00-200-1-5-1-115-003-3751-1-16-114-000000</t>
  </si>
  <si>
    <t>26-22-138-DA3Q-1-8-5-E088-00-200-1-5-1-115-003-3792-1-16-114-000000</t>
  </si>
  <si>
    <t>26-22-138-DA3Q-1-8-5-E088-00-200-1-5-1-115-003-3921-1-16-114-000000</t>
  </si>
  <si>
    <t>NUMERO DE ACTIVIDAD ESPECIFICA</t>
  </si>
  <si>
    <t>FORMATO DE PRESUPUESTO 2027
INSTITUTO POBLANO DE LOS PUEBLOS INDÍGENAS</t>
  </si>
  <si>
    <t>GACETA INSTITUCIONAL</t>
  </si>
  <si>
    <t>DERECHOS DE DIFUSIÓN DE DOCUMENTAL</t>
  </si>
  <si>
    <t>SERVICIO INTEGRAL FUNERARIO</t>
  </si>
  <si>
    <t>26-22-138-DA3Q-1-8-5-E088-00-200-1-5-1-115-003-2151-1-16-114-000000</t>
  </si>
  <si>
    <t xml:space="preserve">SUBDIRECCIÓN DE DESARROLLO DE TECNOLOGÍAS DE LA INFORMACIÓN </t>
  </si>
  <si>
    <t xml:space="preserve">Los recursos de esta partida se destinan a la adquisición de kits de desarrollo electrónico con microcontrolador, tableta de prototipado y conjunto de sensores, distribuidos en partes iguales entre los Módulos Interculturales Digitales del Instituto, ubicados en los municipios de Cuautempan, Eloxochitlán y San Gabriel Chilac; así como a la compra de componentes electrónicos de reposición, módulos de sensores complementarios e instrumentos menores de medición y ensamble necesarios para la operación de los talleres. El equipamiento permanece bajo resguardo de cada Módulo al concluir el ejercicio, de modo que la inversión no se agota en una sola generación de participantes, sino que habilita a los Módulos para impartir formación tecnológica de manera recurrente en ejercicios posteriores.
La adquisición encuentra fundamento en el artículo 21, fracciones VII, IX, XI y XII del Reglamento Interior del Instituto Poblano de los Pueblos Indígenas, que facultan a la Subdirección de Desarrollo de Tecnologías de la Información para impulsar cursos y talleres orientados las pueblos y comunidades indígenas en tecnologías de la información, gestionar la implementación de los Módulos Interculturales Digitales con pertinencia cultural y lingüística; y promover su establecimiento mediante programas y proyectos que impulsen su uso, acceso y apropiación. Se vincula con el artículo 85, fracciones X, XXX y XLII de la Ley de Derechos, Cultura y Desarrollo de los Pueblos y Comunidades Indígenas del Estado de Puebla, relativas a la atención de las juventudes indígenas, al desarrollo de programas de formación y capacitación, y al fortalecimiento de la educación indígena.
El resultado esperado es la formación de jóvenes de nivel medio superior en fundamentos de electrónica, programación de microcontroladores y aplicación de sensores.
</t>
  </si>
  <si>
    <t xml:space="preserve">Esta partida cubre la adquisición de refacciones, accesorios y componentes menores requeridos para mantener en operación el equipo de cómputo y de telecomunicaciones instalado en los Módulos Interculturales Digitales, así como el equipo de cómputo del instituto para su operatividad. Comprende fuentes de poder, unidades de almacenamiento, módulos de memoria, dispositivos periféricos, reguladores y respaldos de energía, cableado estructurado, dispositivos de red, adaptadores y elementos de conectividad. Los Módulos se encuentran en localidades de sierra, expuestos a condiciones de humedad, variaciones de temperatura y suministro eléctrico irregular, lo que acelera el desgaste de los componentes y hace del mantenimiento correctivo una condición necesaria para que los espacios permanezcan funcionales.
El gasto se sustenta en el artículo 21, fracciones I, II y III del Reglamento Interior, que atribuyen a esta Subdirección la coordinación de la aplicación de los sistemas informáticos y el equipamiento correspondiente en todas las unidades administrativas, la gestión de los medios informáticos, tecnológicos y de telecomunicaciones para el alcance de los objetivos institucionales, y la dirección de los procesos de mantenimiento preventivo, correctivo y de actualización de la infraestructura tecnológica. Corresponde igualmente a las funciones 7 y 10 de la Subdirección y a las funciones 3 y 5 del Departamento de Tecnologías de la Información establecidas en el Manual de Organización, relativas a la ejecución del mantenimiento y a la emisión de dictámenes técnicos sobre el estado físico u obsolescencia de los bienes informáticos.
El resultado esperado es la continuidad operativa del Instituto y de los Módulos durante todo el ejercicio, en condición indispensable para impartir en ellos el programa de formación tecnológica y para que puedan prestar servicio a la población de sus comunidades el resto del año. La disponibilidad de los equipos es además el insumo que permitirá documentar el nivel de uso y funcionalidad de los Módulos, evidencia con la que el Instituto sustentará la conveniencia de ampliar el número de espacios en ejercicios posteriores, conforme al artículo 85, fracción XLIII de la Ley, referido a la creación y rehabilitación de espacios dignos para la atención integral e intercultural de las juventudes indígenas.
</t>
  </si>
  <si>
    <t xml:space="preserve">El recurso se destina a la producción del material documental del programa de formación: lonas, banners, manual del curso, cuadernillos de práctica y ejercicios para las sesiones presenciales, constancias de participación para las personas que concluyan el programa, señalética de identificación de los talleres en cada Módulo, y la elaboración de las versiones digitales descargables de dichos materiales para su consulta posterior por parte de las comunidades. 
La pertinencia lingüística de estos materiales no es un elemento decorativo: los municipios sede son municipios indígenas y hablantes de lenguas originarias náhuatl y popoloca.
</t>
  </si>
  <si>
    <t xml:space="preserve">Esta partida cubre los gastos de hospedaje y alimentación que cuentan con comprobante fiscal, erogados por el personal de la Subdirección de Desarrollo de Tecnologías de la Información durante las comisiones a los Módulos Interculturales Digitales del Instituto.
El desplazamiento con pernocta es una condición primordial del programa y no una preferencia operativa. Los Módulos se localizan en la Sierra Norte, la Sierra Negra y la región de Tehuacán, a distancias que impiden trasladarse, impartir una jornada completa de trabajo y regresar el mismo día. Sin la cobertura de hospedaje, la capacitación tendría que reducirse a sesiones de pocas horas por visita, insuficientes para un taller de electrónica que requiere trabajo continuo con equipo. El resultado esperado es la ejecución de las comisiones y la impartición completa del programa a los jóvenes.
</t>
  </si>
  <si>
    <t xml:space="preserve">Esta partida cubre la alimentación, el transporte local y las erogaciones menores del personal comisionado durante los trabajos de campo en los Módulos Interculturales Digitales, correspondientes a los conceptos que por las condiciones del lugar no pueden ampararse con comprobante fiscal. Comprende los alimentos adquiridos en establecimientos y mercados comunitarios de las localidades sede, el transporte local entre la cabecera municipal y la localidad donde se ubica el Módulo, y los gastos de camino propios de la operación en zonas de sierra.
En las localidades sede la actividad comercial se desarrolla de manera predominantemente informal y no existen establecimientos que expidan comprobantes fiscales, por lo que estos conceptos se comprueban conforme a las disposiciones aplicables a los gastos de camino en comisiones oficiales. La denominación de la partida contempla expresamente los operativos y trabajos de campo en áreas rurales, que es la condición en la que se desarrolla la totalidad de este programa.
</t>
  </si>
  <si>
    <t xml:space="preserve">Esta partida se destina al pago de los derechos por uso de vías de cuota, es decir, las casetas de peaje correspondientes a los trayectos de ida y retorno de las comisiones programadas hacia los Módulos Interculturales Digitales. Los recorridos parten de la sede del Instituto en la ciudad de Puebla hacia las comunidades indígenas.
El uso de las vías de cuota responde a condiciones de seguridad y de aprovechamiento del tiempo de comisión. Las rutas libres hacia ambas sierras incrementan de manera considerable los tiempos de traslado y reducen las horas efectivas disponibles para impartir los talleres dentro de una comisión de tres días. Prescindir de esta previsión obligaría a extender la duración de cada comisión, con el consecuente aumento del gasto en viáticos, o bien a recortar las horas de formación impartidas a las personas participantes.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</si>
</sst>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name val="Arial"/>
      <family val="2"/>
    </font>
    <font>
      <b/>
      <sz val="12"/>
      <color theme="0"/>
      <name val="Montserrat"/>
    </font>
    <font>
      <sz val="10"/>
      <name val="Arial"/>
      <family val="2"/>
    </font>
    <font>
      <b/>
      <sz val="10"/>
      <name val="Arial"/>
      <family val="2"/>
    </font>
    <font>
      <sz val="11"/>
      <name val="Calibri"/>
      <family val="2"/>
      <scheme val="minor"/>
    </font>
    <font>
      <b/>
      <sz val="11"/>
      <name val="Calibri"/>
      <family val="2"/>
      <scheme val="minor"/>
    </font>
    <font>
      <sz val="8"/>
      <name val="Calibri"/>
      <family val="2"/>
      <scheme val="minor"/>
    </font>
    <font>
      <sz val="10"/>
      <name val="Arial"/>
    </font>
  </fonts>
  <fills count="8">
    <fill>
      <patternFill patternType="none"/>
    </fill>
    <fill>
      <patternFill patternType="gray125"/>
    </fill>
    <fill>
      <patternFill patternType="solid">
        <fgColor rgb="FFC00000"/>
        <bgColor indexed="64"/>
      </patternFill>
    </fill>
    <fill>
      <patternFill patternType="solid">
        <fgColor rgb="FF00B050"/>
        <bgColor indexed="64"/>
      </patternFill>
    </fill>
    <fill>
      <patternFill patternType="solid">
        <fgColor rgb="FF862222"/>
        <bgColor rgb="FFC5E0B3"/>
      </patternFill>
    </fill>
    <fill>
      <patternFill patternType="solid">
        <fgColor theme="8" tint="-0.249977111117893"/>
        <bgColor indexed="64"/>
      </patternFill>
    </fill>
    <fill>
      <patternFill patternType="solid">
        <fgColor rgb="FFC0C0C0"/>
        <bgColor indexed="64"/>
      </patternFill>
    </fill>
    <fill>
      <patternFill patternType="solid">
        <fgColor theme="8" tint="0.59999389629810485"/>
        <bgColor indexed="64"/>
      </patternFill>
    </fill>
  </fills>
  <borders count="5">
    <border>
      <left/>
      <right/>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44" fontId="1" fillId="0" borderId="0" applyFont="0" applyFill="0" applyBorder="0" applyAlignment="0" applyProtection="0"/>
    <xf numFmtId="0" fontId="6" fillId="0" borderId="0"/>
    <xf numFmtId="0" fontId="11" fillId="0" borderId="0"/>
  </cellStyleXfs>
  <cellXfs count="41">
    <xf numFmtId="0" fontId="0" fillId="0" borderId="0" xfId="0"/>
    <xf numFmtId="0" fontId="4" fillId="0" borderId="0" xfId="0" applyFont="1"/>
    <xf numFmtId="0" fontId="4" fillId="0" borderId="0" xfId="0" applyFont="1" applyAlignment="1">
      <alignment horizontal="right"/>
    </xf>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4" fontId="2" fillId="0" borderId="2" xfId="1" applyNumberFormat="1" applyFont="1" applyFill="1" applyBorder="1" applyAlignment="1">
      <alignment horizontal="center" vertical="center"/>
    </xf>
    <xf numFmtId="4" fontId="0" fillId="0" borderId="2" xfId="1" applyNumberFormat="1"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wrapText="1"/>
    </xf>
    <xf numFmtId="49" fontId="0" fillId="0" borderId="2" xfId="0" applyNumberFormat="1" applyBorder="1" applyAlignment="1">
      <alignment horizontal="center" vertical="center"/>
    </xf>
    <xf numFmtId="0" fontId="0" fillId="0" borderId="2" xfId="0" applyBorder="1"/>
    <xf numFmtId="0" fontId="0" fillId="0" borderId="2" xfId="0" quotePrefix="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wrapText="1"/>
    </xf>
    <xf numFmtId="0" fontId="8" fillId="0" borderId="2" xfId="0" applyFont="1" applyBorder="1" applyAlignment="1">
      <alignment horizontal="center" vertical="center"/>
    </xf>
    <xf numFmtId="0" fontId="8" fillId="0" borderId="2" xfId="0" applyFont="1" applyBorder="1" applyAlignment="1">
      <alignment horizontal="justify" vertical="center" wrapText="1"/>
    </xf>
    <xf numFmtId="0" fontId="8" fillId="0" borderId="2" xfId="0" applyFont="1" applyBorder="1" applyAlignment="1">
      <alignment horizontal="left" vertical="center" wrapText="1"/>
    </xf>
    <xf numFmtId="49" fontId="8" fillId="0" borderId="2" xfId="0" applyNumberFormat="1" applyFont="1" applyBorder="1" applyAlignment="1">
      <alignment horizontal="center" vertical="center"/>
    </xf>
    <xf numFmtId="0" fontId="8" fillId="0" borderId="2" xfId="0" applyFont="1" applyBorder="1"/>
    <xf numFmtId="0" fontId="8" fillId="0" borderId="2" xfId="0" quotePrefix="1" applyFont="1" applyBorder="1" applyAlignment="1">
      <alignment horizontal="center" vertical="center"/>
    </xf>
    <xf numFmtId="0" fontId="8" fillId="0" borderId="2" xfId="0" applyFont="1" applyBorder="1" applyAlignment="1">
      <alignment horizontal="center" vertical="center" wrapText="1"/>
    </xf>
    <xf numFmtId="4" fontId="9" fillId="0" borderId="2" xfId="1" applyNumberFormat="1" applyFont="1" applyFill="1" applyBorder="1" applyAlignment="1">
      <alignment horizontal="center" vertical="center"/>
    </xf>
    <xf numFmtId="0" fontId="8" fillId="0" borderId="2" xfId="0" applyFont="1" applyBorder="1" applyAlignment="1">
      <alignment wrapText="1"/>
    </xf>
    <xf numFmtId="0" fontId="0" fillId="0" borderId="0" xfId="0" applyAlignment="1">
      <alignment horizontal="center" vertical="center" wrapText="1"/>
    </xf>
    <xf numFmtId="4" fontId="8" fillId="0" borderId="2" xfId="1" applyNumberFormat="1" applyFont="1" applyFill="1" applyBorder="1" applyAlignment="1">
      <alignment horizontal="center" vertical="center"/>
    </xf>
    <xf numFmtId="0" fontId="8" fillId="0" borderId="0" xfId="0" applyFont="1"/>
    <xf numFmtId="0" fontId="8" fillId="0" borderId="3" xfId="0" applyFont="1" applyBorder="1" applyAlignment="1">
      <alignment horizontal="center" vertical="center"/>
    </xf>
    <xf numFmtId="0" fontId="3" fillId="5" borderId="3" xfId="0" applyFont="1" applyFill="1" applyBorder="1" applyAlignment="1">
      <alignment horizontal="center" vertical="center" wrapText="1"/>
    </xf>
    <xf numFmtId="0" fontId="7" fillId="6" borderId="3" xfId="3" applyFont="1" applyFill="1" applyBorder="1" applyAlignment="1">
      <alignment horizontal="center"/>
    </xf>
    <xf numFmtId="0" fontId="11" fillId="0" borderId="0" xfId="3"/>
    <xf numFmtId="0" fontId="11" fillId="0" borderId="0" xfId="3" applyAlignment="1">
      <alignment wrapText="1"/>
    </xf>
    <xf numFmtId="0" fontId="7" fillId="6" borderId="4" xfId="3" applyFont="1" applyFill="1" applyBorder="1" applyAlignment="1">
      <alignment horizontal="center"/>
    </xf>
    <xf numFmtId="0" fontId="0" fillId="0" borderId="3" xfId="0" applyBorder="1" applyAlignment="1">
      <alignment horizontal="left" vertical="center" wrapText="1"/>
    </xf>
    <xf numFmtId="0" fontId="11" fillId="7" borderId="0" xfId="3" applyFill="1" applyAlignment="1">
      <alignment wrapText="1"/>
    </xf>
    <xf numFmtId="0" fontId="0" fillId="0" borderId="3" xfId="0" applyBorder="1" applyAlignment="1">
      <alignment horizontal="center" vertical="center" wrapText="1"/>
    </xf>
    <xf numFmtId="0" fontId="5" fillId="4" borderId="1" xfId="0" applyFont="1" applyFill="1" applyBorder="1" applyAlignment="1">
      <alignment horizontal="center" vertical="center" wrapText="1"/>
    </xf>
    <xf numFmtId="0" fontId="5" fillId="4" borderId="0" xfId="0" applyFont="1" applyFill="1" applyAlignment="1">
      <alignment horizontal="center" vertical="center"/>
    </xf>
    <xf numFmtId="0" fontId="0" fillId="0" borderId="2" xfId="0" applyFill="1" applyBorder="1" applyAlignment="1">
      <alignment horizontal="center" vertical="center"/>
    </xf>
    <xf numFmtId="0" fontId="0" fillId="0" borderId="2" xfId="0" applyFill="1" applyBorder="1" applyAlignment="1">
      <alignment horizontal="center" vertical="center" wrapText="1"/>
    </xf>
  </cellXfs>
  <cellStyles count="4">
    <cellStyle name="Moneda" xfId="1" builtinId="4"/>
    <cellStyle name="Normal" xfId="0" builtinId="0"/>
    <cellStyle name="Normal 2" xfId="2" xr:uid="{00000000-0005-0000-0000-000003000000}"/>
    <cellStyle name="Normal 3" xfId="3" xr:uid="{956F8FF2-086A-4BC0-967D-67935C8CAE90}"/>
  </cellStyles>
  <dxfs count="0"/>
  <tableStyles count="0" defaultTableStyle="TableStyleMedium2" defaultPivotStyle="PivotStyleLight16"/>
  <colors>
    <mruColors>
      <color rgb="FFFDE3E3"/>
      <color rgb="FF8622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
  <sheetViews>
    <sheetView tabSelected="1" topLeftCell="A3" workbookViewId="0">
      <selection activeCell="J5" sqref="J5"/>
    </sheetView>
  </sheetViews>
  <sheetFormatPr baseColWidth="10" defaultRowHeight="15" x14ac:dyDescent="0.25"/>
  <cols>
    <col min="1" max="1" width="10.85546875" customWidth="1"/>
    <col min="2" max="2" width="16.5703125" customWidth="1"/>
    <col min="3" max="3" width="20.85546875" customWidth="1"/>
    <col min="4" max="4" width="12" customWidth="1"/>
    <col min="5" max="5" width="21.7109375" customWidth="1"/>
    <col min="6" max="6" width="64.85546875" customWidth="1"/>
    <col min="7" max="7" width="11.42578125" customWidth="1"/>
    <col min="9" max="9" width="25.28515625" customWidth="1"/>
    <col min="10" max="10" width="13.42578125" customWidth="1"/>
    <col min="11" max="11" width="17.85546875" customWidth="1"/>
    <col min="12" max="15" width="11.42578125" customWidth="1"/>
    <col min="16" max="16" width="14.5703125" customWidth="1"/>
    <col min="17" max="17" width="11.42578125" customWidth="1"/>
    <col min="18" max="18" width="10" customWidth="1"/>
    <col min="19" max="19" width="10.7109375" customWidth="1"/>
    <col min="20" max="20" width="9.7109375" customWidth="1"/>
    <col min="21" max="21" width="24.28515625" customWidth="1"/>
    <col min="22" max="22" width="11" customWidth="1"/>
    <col min="23" max="23" width="18" customWidth="1"/>
    <col min="24" max="24" width="17.28515625" customWidth="1"/>
    <col min="25" max="25" width="18" customWidth="1"/>
    <col min="26" max="26" width="15.140625" customWidth="1"/>
    <col min="27" max="38" width="12.7109375" customWidth="1"/>
    <col min="39" max="39" width="15.140625" bestFit="1" customWidth="1"/>
    <col min="40" max="40" width="46.7109375" customWidth="1"/>
  </cols>
  <sheetData>
    <row r="1" spans="1:40" ht="35.25" customHeight="1" x14ac:dyDescent="0.25">
      <c r="A1" s="37" t="s">
        <v>1392</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row>
    <row r="2" spans="1:40" x14ac:dyDescent="0.25">
      <c r="A2" s="1"/>
      <c r="B2" s="1"/>
      <c r="C2" s="1"/>
      <c r="D2" s="1"/>
      <c r="E2" s="1"/>
      <c r="F2" s="1"/>
      <c r="G2" s="1"/>
      <c r="H2" s="1"/>
      <c r="I2" s="1"/>
      <c r="J2" s="1"/>
      <c r="K2" s="1"/>
      <c r="L2" s="1"/>
      <c r="M2" s="1"/>
      <c r="N2" s="1"/>
      <c r="O2" s="1"/>
      <c r="P2" s="1"/>
      <c r="Q2" s="1"/>
      <c r="R2" s="1"/>
      <c r="S2" s="1"/>
      <c r="T2" s="1"/>
      <c r="U2" s="1"/>
      <c r="V2" s="1"/>
      <c r="W2" s="1"/>
      <c r="X2" s="1"/>
      <c r="Y2" s="1"/>
      <c r="Z2" s="2"/>
      <c r="AA2" s="1"/>
      <c r="AB2" s="1"/>
      <c r="AC2" s="1"/>
      <c r="AD2" s="1"/>
      <c r="AE2" s="1"/>
      <c r="AF2" s="1"/>
      <c r="AG2" s="1"/>
      <c r="AH2" s="1"/>
      <c r="AI2" s="1"/>
      <c r="AJ2" s="1"/>
      <c r="AK2" s="1"/>
      <c r="AL2" s="1"/>
      <c r="AM2" s="1"/>
    </row>
    <row r="3" spans="1:40" ht="45" x14ac:dyDescent="0.25">
      <c r="A3" s="7" t="s">
        <v>0</v>
      </c>
      <c r="B3" s="7" t="s">
        <v>1</v>
      </c>
      <c r="C3" s="7" t="s">
        <v>2</v>
      </c>
      <c r="D3" s="29" t="s">
        <v>1391</v>
      </c>
      <c r="E3" s="8" t="s">
        <v>3</v>
      </c>
      <c r="F3" s="8" t="s">
        <v>4</v>
      </c>
      <c r="G3" s="8" t="s">
        <v>5</v>
      </c>
      <c r="H3" s="7" t="s">
        <v>6</v>
      </c>
      <c r="I3" s="7" t="s">
        <v>7</v>
      </c>
      <c r="J3" s="7" t="s">
        <v>8</v>
      </c>
      <c r="K3" s="7" t="s">
        <v>9</v>
      </c>
      <c r="L3" s="7" t="s">
        <v>10</v>
      </c>
      <c r="M3" s="7" t="s">
        <v>11</v>
      </c>
      <c r="N3" s="7" t="s">
        <v>12</v>
      </c>
      <c r="O3" s="7" t="s">
        <v>13</v>
      </c>
      <c r="P3" s="7" t="s">
        <v>14</v>
      </c>
      <c r="Q3" s="7" t="s">
        <v>15</v>
      </c>
      <c r="R3" s="7" t="s">
        <v>16</v>
      </c>
      <c r="S3" s="7" t="s">
        <v>17</v>
      </c>
      <c r="T3" s="7" t="s">
        <v>18</v>
      </c>
      <c r="U3" s="7" t="s">
        <v>19</v>
      </c>
      <c r="V3" s="7" t="s">
        <v>20</v>
      </c>
      <c r="W3" s="7" t="s">
        <v>21</v>
      </c>
      <c r="X3" s="7" t="s">
        <v>22</v>
      </c>
      <c r="Y3" s="8" t="s">
        <v>23</v>
      </c>
      <c r="Z3" s="8" t="s">
        <v>24</v>
      </c>
      <c r="AA3" s="4" t="s">
        <v>25</v>
      </c>
      <c r="AB3" s="4" t="s">
        <v>26</v>
      </c>
      <c r="AC3" s="4" t="s">
        <v>27</v>
      </c>
      <c r="AD3" s="4" t="s">
        <v>28</v>
      </c>
      <c r="AE3" s="4" t="s">
        <v>29</v>
      </c>
      <c r="AF3" s="4" t="s">
        <v>30</v>
      </c>
      <c r="AG3" s="4" t="s">
        <v>31</v>
      </c>
      <c r="AH3" s="4" t="s">
        <v>32</v>
      </c>
      <c r="AI3" s="4" t="s">
        <v>33</v>
      </c>
      <c r="AJ3" s="4" t="s">
        <v>34</v>
      </c>
      <c r="AK3" s="4" t="s">
        <v>35</v>
      </c>
      <c r="AL3" s="4" t="s">
        <v>36</v>
      </c>
      <c r="AM3" s="4" t="s">
        <v>37</v>
      </c>
      <c r="AN3" s="3" t="s">
        <v>38</v>
      </c>
    </row>
    <row r="4" spans="1:40" s="27" customFormat="1" ht="75" customHeight="1" x14ac:dyDescent="0.25">
      <c r="A4" s="16">
        <v>2027</v>
      </c>
      <c r="B4" s="16" t="s">
        <v>39</v>
      </c>
      <c r="C4" s="17" t="s">
        <v>1397</v>
      </c>
      <c r="D4" s="36" t="str">
        <f t="shared" ref="D4:D6" si="0">MID(F4,44,3)</f>
        <v>002</v>
      </c>
      <c r="E4" s="34" t="s">
        <v>65</v>
      </c>
      <c r="F4" s="28" t="s">
        <v>1386</v>
      </c>
      <c r="G4" s="16" t="str">
        <f t="shared" ref="G4:G5" si="1">MID(F4,48,1)</f>
        <v>2</v>
      </c>
      <c r="H4" s="16" t="str">
        <f t="shared" ref="H4:H5" si="2">MID(F4,48,4)</f>
        <v>2141</v>
      </c>
      <c r="I4" s="18" t="s">
        <v>143</v>
      </c>
      <c r="J4" s="16" t="s">
        <v>40</v>
      </c>
      <c r="K4" s="16">
        <v>5.14</v>
      </c>
      <c r="L4" s="19" t="s">
        <v>44</v>
      </c>
      <c r="M4" s="16" t="s">
        <v>42</v>
      </c>
      <c r="N4" s="16" t="s">
        <v>42</v>
      </c>
      <c r="O4" s="16" t="s">
        <v>39</v>
      </c>
      <c r="P4" s="20"/>
      <c r="Q4" s="20"/>
      <c r="R4" s="16">
        <v>1</v>
      </c>
      <c r="S4" s="21" t="s">
        <v>43</v>
      </c>
      <c r="T4" s="16" t="str">
        <f t="shared" ref="T4:T5" si="3">MID(F4,55,2)</f>
        <v>16</v>
      </c>
      <c r="U4" s="14" t="str">
        <f>VLOOKUP(T4,'CATALOGO DE REGIONES'!B$2:C$28,2,FALSE)</f>
        <v>PUEBLA CAPITAL</v>
      </c>
      <c r="V4" s="16" t="str">
        <f t="shared" ref="V4:V5" si="4">MID(F4,58,3)</f>
        <v>114</v>
      </c>
      <c r="W4" s="22" t="s">
        <v>50</v>
      </c>
      <c r="X4" s="16">
        <v>0</v>
      </c>
      <c r="Y4" s="22" t="str">
        <f t="shared" ref="Y4:Y7" si="5">CONCATENATE(T4, "-",V4, " ", W4)</f>
        <v>16-114 PUEBLA</v>
      </c>
      <c r="Z4" s="23">
        <v>80000</v>
      </c>
      <c r="AA4" s="26">
        <v>0</v>
      </c>
      <c r="AB4" s="26">
        <v>0</v>
      </c>
      <c r="AC4" s="26">
        <v>40000</v>
      </c>
      <c r="AD4" s="26">
        <v>0</v>
      </c>
      <c r="AE4" s="26">
        <v>0</v>
      </c>
      <c r="AF4" s="26">
        <v>40000</v>
      </c>
      <c r="AG4" s="26">
        <v>0</v>
      </c>
      <c r="AH4" s="26">
        <v>0</v>
      </c>
      <c r="AI4" s="26">
        <v>0</v>
      </c>
      <c r="AJ4" s="26">
        <v>0</v>
      </c>
      <c r="AK4" s="26">
        <v>0</v>
      </c>
      <c r="AL4" s="26">
        <v>0</v>
      </c>
      <c r="AM4" s="5">
        <f t="shared" ref="AM4:AM5" si="6">SUM(AA4:AL4)</f>
        <v>80000</v>
      </c>
      <c r="AN4" s="24" t="s">
        <v>1398</v>
      </c>
    </row>
    <row r="5" spans="1:40" ht="75" customHeight="1" x14ac:dyDescent="0.25">
      <c r="A5" s="9">
        <v>2027</v>
      </c>
      <c r="B5" s="9" t="s">
        <v>39</v>
      </c>
      <c r="C5" s="17" t="s">
        <v>1397</v>
      </c>
      <c r="D5" s="36" t="str">
        <f t="shared" si="0"/>
        <v>004</v>
      </c>
      <c r="E5" s="34" t="s">
        <v>69</v>
      </c>
      <c r="F5" s="25" t="s">
        <v>1387</v>
      </c>
      <c r="G5" s="9" t="str">
        <f t="shared" si="1"/>
        <v>2</v>
      </c>
      <c r="H5" s="9" t="str">
        <f t="shared" si="2"/>
        <v>2941</v>
      </c>
      <c r="I5" s="10" t="s">
        <v>311</v>
      </c>
      <c r="J5" s="9" t="s">
        <v>40</v>
      </c>
      <c r="K5" s="9">
        <v>5.14</v>
      </c>
      <c r="L5" s="11" t="s">
        <v>44</v>
      </c>
      <c r="M5" s="9" t="s">
        <v>42</v>
      </c>
      <c r="N5" s="9" t="s">
        <v>42</v>
      </c>
      <c r="O5" s="9" t="s">
        <v>39</v>
      </c>
      <c r="P5" s="12"/>
      <c r="Q5" s="12"/>
      <c r="R5" s="9">
        <v>1</v>
      </c>
      <c r="S5" s="13" t="s">
        <v>43</v>
      </c>
      <c r="T5" s="9" t="str">
        <f t="shared" si="3"/>
        <v>16</v>
      </c>
      <c r="U5" s="14" t="str">
        <f>VLOOKUP(T5,'CATALOGO DE REGIONES'!B$2:C$28,2,FALSE)</f>
        <v>PUEBLA CAPITAL</v>
      </c>
      <c r="V5" s="9" t="str">
        <f t="shared" si="4"/>
        <v>114</v>
      </c>
      <c r="W5" s="14" t="s">
        <v>50</v>
      </c>
      <c r="X5" s="9">
        <v>0</v>
      </c>
      <c r="Y5" s="14" t="str">
        <f t="shared" si="5"/>
        <v>16-114 PUEBLA</v>
      </c>
      <c r="Z5" s="5">
        <v>75000</v>
      </c>
      <c r="AA5" s="6">
        <v>0</v>
      </c>
      <c r="AB5" s="6">
        <v>20000</v>
      </c>
      <c r="AC5" s="6">
        <v>0</v>
      </c>
      <c r="AD5" s="6">
        <v>15000</v>
      </c>
      <c r="AE5" s="6">
        <v>0</v>
      </c>
      <c r="AF5" s="6">
        <v>15000</v>
      </c>
      <c r="AG5" s="6">
        <v>0</v>
      </c>
      <c r="AH5" s="6">
        <v>15000</v>
      </c>
      <c r="AI5" s="6">
        <v>0</v>
      </c>
      <c r="AJ5" s="6">
        <v>10000</v>
      </c>
      <c r="AK5" s="6">
        <v>0</v>
      </c>
      <c r="AL5" s="6">
        <v>0</v>
      </c>
      <c r="AM5" s="5">
        <f t="shared" si="6"/>
        <v>75000</v>
      </c>
      <c r="AN5" s="15" t="s">
        <v>1399</v>
      </c>
    </row>
    <row r="6" spans="1:40" ht="75" customHeight="1" x14ac:dyDescent="0.25">
      <c r="A6" s="9">
        <v>2027</v>
      </c>
      <c r="B6" s="9" t="s">
        <v>39</v>
      </c>
      <c r="C6" s="17" t="s">
        <v>1397</v>
      </c>
      <c r="D6" s="36" t="str">
        <f t="shared" si="0"/>
        <v>003</v>
      </c>
      <c r="E6" s="34" t="s">
        <v>67</v>
      </c>
      <c r="F6" s="14" t="s">
        <v>1396</v>
      </c>
      <c r="G6" s="9">
        <v>3</v>
      </c>
      <c r="H6" s="9" t="str">
        <f t="shared" ref="H6:H7" si="7">MID(F6,48,4)</f>
        <v>2151</v>
      </c>
      <c r="I6" s="10" t="s">
        <v>146</v>
      </c>
      <c r="J6" s="9" t="s">
        <v>40</v>
      </c>
      <c r="K6" s="9">
        <v>5.14</v>
      </c>
      <c r="L6" s="11" t="s">
        <v>41</v>
      </c>
      <c r="M6" s="9" t="s">
        <v>42</v>
      </c>
      <c r="N6" s="9" t="s">
        <v>42</v>
      </c>
      <c r="O6" s="9" t="s">
        <v>39</v>
      </c>
      <c r="P6" s="12"/>
      <c r="Q6" s="12"/>
      <c r="R6" s="9">
        <v>1</v>
      </c>
      <c r="S6" s="13" t="s">
        <v>43</v>
      </c>
      <c r="T6" s="9" t="str">
        <f t="shared" ref="T6:T7" si="8">MID(F6,55,2)</f>
        <v>16</v>
      </c>
      <c r="U6" s="14" t="str">
        <f>VLOOKUP(T6,'CATALOGO DE REGIONES'!B$2:C$28,2,FALSE)</f>
        <v>PUEBLA CAPITAL</v>
      </c>
      <c r="V6" s="9" t="str">
        <f t="shared" ref="V6:V7" si="9">MID(F6,58,3)</f>
        <v>114</v>
      </c>
      <c r="W6" s="14" t="s">
        <v>50</v>
      </c>
      <c r="X6" s="9">
        <v>0</v>
      </c>
      <c r="Y6" s="14" t="str">
        <f t="shared" ref="Y6" si="10">CONCATENATE(T6, "-",V6, " ", W6)</f>
        <v>16-114 PUEBLA</v>
      </c>
      <c r="Z6" s="5">
        <v>15000</v>
      </c>
      <c r="AA6" s="6">
        <v>0</v>
      </c>
      <c r="AB6" s="6">
        <v>6000</v>
      </c>
      <c r="AC6" s="6">
        <v>0</v>
      </c>
      <c r="AD6" s="6">
        <v>0</v>
      </c>
      <c r="AE6" s="6">
        <v>3000</v>
      </c>
      <c r="AF6" s="6">
        <v>0</v>
      </c>
      <c r="AG6" s="6">
        <v>3000</v>
      </c>
      <c r="AH6" s="6">
        <v>0</v>
      </c>
      <c r="AI6" s="6">
        <v>3000</v>
      </c>
      <c r="AJ6" s="6">
        <v>0</v>
      </c>
      <c r="AK6" s="6">
        <v>0</v>
      </c>
      <c r="AL6" s="6">
        <v>0</v>
      </c>
      <c r="AM6" s="5">
        <f t="shared" ref="AM6:AM9" si="11">SUM(AA6:AL6)</f>
        <v>15000</v>
      </c>
      <c r="AN6" s="15" t="s">
        <v>1400</v>
      </c>
    </row>
    <row r="7" spans="1:40" ht="75" customHeight="1" x14ac:dyDescent="0.25">
      <c r="A7" s="9">
        <v>2027</v>
      </c>
      <c r="B7" s="9" t="s">
        <v>39</v>
      </c>
      <c r="C7" s="17" t="s">
        <v>1397</v>
      </c>
      <c r="D7" s="36" t="str">
        <f t="shared" ref="D7:D9" si="12">MID(F7,44,3)</f>
        <v>003</v>
      </c>
      <c r="E7" s="34" t="s">
        <v>67</v>
      </c>
      <c r="F7" s="9" t="s">
        <v>1388</v>
      </c>
      <c r="G7" s="9" t="str">
        <f t="shared" ref="G7" si="13">MID(F7,48,1)</f>
        <v>3</v>
      </c>
      <c r="H7" s="9" t="str">
        <f>MID(F7,48,4)</f>
        <v>3751</v>
      </c>
      <c r="I7" s="10" t="s">
        <v>562</v>
      </c>
      <c r="J7" s="9" t="s">
        <v>40</v>
      </c>
      <c r="K7" s="9">
        <v>5.14</v>
      </c>
      <c r="L7" s="11" t="s">
        <v>44</v>
      </c>
      <c r="M7" s="9" t="s">
        <v>42</v>
      </c>
      <c r="N7" s="9" t="s">
        <v>42</v>
      </c>
      <c r="O7" s="9" t="s">
        <v>39</v>
      </c>
      <c r="P7" s="12"/>
      <c r="Q7" s="12"/>
      <c r="R7" s="9">
        <v>1</v>
      </c>
      <c r="S7" s="13" t="s">
        <v>43</v>
      </c>
      <c r="T7" s="9" t="str">
        <f t="shared" si="8"/>
        <v>16</v>
      </c>
      <c r="U7" s="14" t="str">
        <f>VLOOKUP(T7,'CATALOGO DE REGIONES'!B$2:C$28,2,FALSE)</f>
        <v>PUEBLA CAPITAL</v>
      </c>
      <c r="V7" s="9" t="str">
        <f t="shared" si="9"/>
        <v>114</v>
      </c>
      <c r="W7" s="14" t="s">
        <v>50</v>
      </c>
      <c r="X7" s="9">
        <v>0</v>
      </c>
      <c r="Y7" s="14" t="str">
        <f t="shared" si="5"/>
        <v>16-114 PUEBLA</v>
      </c>
      <c r="Z7" s="5">
        <v>15000</v>
      </c>
      <c r="AA7" s="6">
        <v>0</v>
      </c>
      <c r="AB7" s="6">
        <v>1500</v>
      </c>
      <c r="AC7" s="6">
        <v>1500</v>
      </c>
      <c r="AD7" s="6">
        <v>1500</v>
      </c>
      <c r="AE7" s="6">
        <v>1500</v>
      </c>
      <c r="AF7" s="6">
        <v>1500</v>
      </c>
      <c r="AG7" s="6">
        <v>1500</v>
      </c>
      <c r="AH7" s="6">
        <v>1500</v>
      </c>
      <c r="AI7" s="6">
        <v>1500</v>
      </c>
      <c r="AJ7" s="6">
        <v>1500</v>
      </c>
      <c r="AK7" s="6">
        <v>1500</v>
      </c>
      <c r="AL7" s="6">
        <v>0</v>
      </c>
      <c r="AM7" s="5">
        <f>SUM(AA7:AL7)</f>
        <v>15000</v>
      </c>
      <c r="AN7" s="15" t="s">
        <v>1401</v>
      </c>
    </row>
    <row r="8" spans="1:40" ht="75" customHeight="1" x14ac:dyDescent="0.25">
      <c r="A8" s="9">
        <v>2027</v>
      </c>
      <c r="B8" s="9" t="s">
        <v>39</v>
      </c>
      <c r="C8" s="17" t="s">
        <v>1397</v>
      </c>
      <c r="D8" s="36" t="str">
        <f t="shared" si="12"/>
        <v>003</v>
      </c>
      <c r="E8" s="34" t="s">
        <v>67</v>
      </c>
      <c r="F8" s="9" t="s">
        <v>1389</v>
      </c>
      <c r="G8" s="9" t="s">
        <v>45</v>
      </c>
      <c r="H8" s="9" t="s">
        <v>46</v>
      </c>
      <c r="I8" s="10" t="s">
        <v>47</v>
      </c>
      <c r="J8" s="9" t="s">
        <v>40</v>
      </c>
      <c r="K8" s="9">
        <v>5.14</v>
      </c>
      <c r="L8" s="11" t="s">
        <v>44</v>
      </c>
      <c r="M8" s="9" t="s">
        <v>42</v>
      </c>
      <c r="N8" s="9" t="s">
        <v>42</v>
      </c>
      <c r="O8" s="9" t="s">
        <v>39</v>
      </c>
      <c r="P8" s="12"/>
      <c r="Q8" s="12"/>
      <c r="R8" s="9">
        <v>1</v>
      </c>
      <c r="S8" s="13" t="s">
        <v>43</v>
      </c>
      <c r="T8" s="39" t="s">
        <v>48</v>
      </c>
      <c r="U8" s="40" t="str">
        <f>VLOOKUP(T8,'CATALOGO DE REGIONES'!B$2:C$28,2,FALSE)</f>
        <v>ATLIXCO</v>
      </c>
      <c r="V8" s="9" t="s">
        <v>49</v>
      </c>
      <c r="W8" s="14" t="s">
        <v>50</v>
      </c>
      <c r="X8" s="9">
        <v>0</v>
      </c>
      <c r="Y8" s="14" t="s">
        <v>51</v>
      </c>
      <c r="Z8" s="5">
        <v>25000</v>
      </c>
      <c r="AA8" s="6">
        <v>0</v>
      </c>
      <c r="AB8" s="6">
        <v>2500</v>
      </c>
      <c r="AC8" s="6">
        <v>2500</v>
      </c>
      <c r="AD8" s="6">
        <v>2500</v>
      </c>
      <c r="AE8" s="6">
        <v>2500</v>
      </c>
      <c r="AF8" s="6">
        <v>2500</v>
      </c>
      <c r="AG8" s="6">
        <v>2500</v>
      </c>
      <c r="AH8" s="6">
        <v>2500</v>
      </c>
      <c r="AI8" s="6">
        <v>2500</v>
      </c>
      <c r="AJ8" s="6">
        <v>2500</v>
      </c>
      <c r="AK8" s="6">
        <v>2500</v>
      </c>
      <c r="AL8" s="6">
        <v>0</v>
      </c>
      <c r="AM8" s="5">
        <f t="shared" si="11"/>
        <v>25000</v>
      </c>
      <c r="AN8" s="15" t="s">
        <v>1402</v>
      </c>
    </row>
    <row r="9" spans="1:40" ht="75" customHeight="1" x14ac:dyDescent="0.25">
      <c r="A9" s="9">
        <v>2027</v>
      </c>
      <c r="B9" s="9" t="s">
        <v>39</v>
      </c>
      <c r="C9" s="17" t="s">
        <v>1397</v>
      </c>
      <c r="D9" s="36" t="str">
        <f t="shared" si="12"/>
        <v>003</v>
      </c>
      <c r="E9" s="34" t="s">
        <v>67</v>
      </c>
      <c r="F9" s="9" t="s">
        <v>1390</v>
      </c>
      <c r="G9" s="9" t="str">
        <f t="shared" ref="G9" si="14">MID(F9,48,1)</f>
        <v>3</v>
      </c>
      <c r="H9" s="9" t="str">
        <f t="shared" ref="H9" si="15">MID(F9,48,4)</f>
        <v>3921</v>
      </c>
      <c r="I9" s="10" t="s">
        <v>601</v>
      </c>
      <c r="J9" s="9" t="s">
        <v>40</v>
      </c>
      <c r="K9" s="9">
        <v>5.14</v>
      </c>
      <c r="L9" s="11" t="s">
        <v>44</v>
      </c>
      <c r="M9" s="9" t="s">
        <v>42</v>
      </c>
      <c r="N9" s="9" t="s">
        <v>42</v>
      </c>
      <c r="O9" s="9" t="s">
        <v>39</v>
      </c>
      <c r="P9" s="12"/>
      <c r="Q9" s="12"/>
      <c r="R9" s="9">
        <v>1</v>
      </c>
      <c r="S9" s="13" t="s">
        <v>43</v>
      </c>
      <c r="T9" s="9" t="str">
        <f t="shared" ref="T9" si="16">MID(F9,55,2)</f>
        <v>16</v>
      </c>
      <c r="U9" s="14" t="str">
        <f>VLOOKUP(T9,'CATALOGO DE REGIONES'!B$2:C$28,2,FALSE)</f>
        <v>PUEBLA CAPITAL</v>
      </c>
      <c r="V9" s="9" t="str">
        <f t="shared" ref="V9" si="17">MID(F9,58,3)</f>
        <v>114</v>
      </c>
      <c r="W9" s="14" t="s">
        <v>50</v>
      </c>
      <c r="X9" s="9">
        <v>0</v>
      </c>
      <c r="Y9" s="14" t="str">
        <f t="shared" ref="Y9" si="18">CONCATENATE(T9, "-",V9, " ", W9)</f>
        <v>16-114 PUEBLA</v>
      </c>
      <c r="Z9" s="5">
        <v>15000</v>
      </c>
      <c r="AA9" s="6">
        <v>0</v>
      </c>
      <c r="AB9" s="6">
        <v>1500</v>
      </c>
      <c r="AC9" s="6">
        <v>1500</v>
      </c>
      <c r="AD9" s="6">
        <v>1500</v>
      </c>
      <c r="AE9" s="6">
        <v>1500</v>
      </c>
      <c r="AF9" s="6">
        <v>1500</v>
      </c>
      <c r="AG9" s="6">
        <v>1500</v>
      </c>
      <c r="AH9" s="6">
        <v>1500</v>
      </c>
      <c r="AI9" s="6">
        <v>1500</v>
      </c>
      <c r="AJ9" s="6">
        <v>1500</v>
      </c>
      <c r="AK9" s="6">
        <v>1500</v>
      </c>
      <c r="AL9" s="6">
        <v>0</v>
      </c>
      <c r="AM9" s="5">
        <f t="shared" si="11"/>
        <v>15000</v>
      </c>
      <c r="AN9" s="15" t="s">
        <v>1403</v>
      </c>
    </row>
  </sheetData>
  <autoFilter ref="A3:AN9" xr:uid="{00000000-0009-0000-0000-000000000000}"/>
  <mergeCells count="1">
    <mergeCell ref="A1:AN1"/>
  </mergeCells>
  <phoneticPr fontId="1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38A0A-28E7-47C6-A2E8-7FBF10B8846B}">
  <dimension ref="A1:H288"/>
  <sheetViews>
    <sheetView workbookViewId="0">
      <pane ySplit="1" topLeftCell="A2" activePane="bottomLeft" state="frozen"/>
      <selection pane="bottomLeft" activeCell="E5" sqref="E5"/>
    </sheetView>
  </sheetViews>
  <sheetFormatPr baseColWidth="10" defaultColWidth="11.42578125" defaultRowHeight="12.75" x14ac:dyDescent="0.2"/>
  <cols>
    <col min="1" max="8" width="20.28515625" style="32" bestFit="1" customWidth="1"/>
    <col min="9" max="16384" width="11.42578125" style="31"/>
  </cols>
  <sheetData>
    <row r="1" spans="1:8" x14ac:dyDescent="0.2">
      <c r="A1" s="30" t="s">
        <v>0</v>
      </c>
      <c r="B1" s="30" t="s">
        <v>5</v>
      </c>
      <c r="C1" s="30" t="s">
        <v>127</v>
      </c>
      <c r="D1" s="30" t="s">
        <v>128</v>
      </c>
      <c r="E1" s="30" t="s">
        <v>129</v>
      </c>
      <c r="F1" s="30" t="s">
        <v>56</v>
      </c>
      <c r="G1" s="30" t="s">
        <v>130</v>
      </c>
      <c r="H1" s="30" t="s">
        <v>57</v>
      </c>
    </row>
    <row r="2" spans="1:8" ht="51" x14ac:dyDescent="0.2">
      <c r="A2" s="32">
        <v>2026</v>
      </c>
      <c r="B2" s="32" t="s">
        <v>109</v>
      </c>
      <c r="C2" s="32" t="s">
        <v>131</v>
      </c>
      <c r="D2" s="32" t="s">
        <v>132</v>
      </c>
      <c r="E2" s="32" t="s">
        <v>133</v>
      </c>
      <c r="F2" s="32" t="s">
        <v>134</v>
      </c>
      <c r="G2" s="32" t="s">
        <v>40</v>
      </c>
      <c r="H2" s="32" t="s">
        <v>61</v>
      </c>
    </row>
    <row r="3" spans="1:8" ht="51" x14ac:dyDescent="0.2">
      <c r="A3" s="32">
        <v>2026</v>
      </c>
      <c r="B3" s="32" t="s">
        <v>109</v>
      </c>
      <c r="C3" s="32" t="s">
        <v>131</v>
      </c>
      <c r="D3" s="32" t="s">
        <v>135</v>
      </c>
      <c r="E3" s="32" t="s">
        <v>136</v>
      </c>
      <c r="F3" s="32" t="s">
        <v>137</v>
      </c>
      <c r="G3" s="32" t="s">
        <v>40</v>
      </c>
      <c r="H3" s="32" t="s">
        <v>61</v>
      </c>
    </row>
    <row r="4" spans="1:8" ht="38.25" x14ac:dyDescent="0.2">
      <c r="A4" s="32">
        <v>2026</v>
      </c>
      <c r="B4" s="32" t="s">
        <v>109</v>
      </c>
      <c r="C4" s="32" t="s">
        <v>131</v>
      </c>
      <c r="D4" s="32" t="s">
        <v>138</v>
      </c>
      <c r="E4" s="32" t="s">
        <v>139</v>
      </c>
      <c r="F4" s="32" t="s">
        <v>140</v>
      </c>
      <c r="G4" s="32" t="s">
        <v>40</v>
      </c>
      <c r="H4" s="32" t="s">
        <v>61</v>
      </c>
    </row>
    <row r="5" spans="1:8" ht="76.5" x14ac:dyDescent="0.2">
      <c r="A5" s="32">
        <v>2026</v>
      </c>
      <c r="B5" s="32" t="s">
        <v>109</v>
      </c>
      <c r="C5" s="32" t="s">
        <v>131</v>
      </c>
      <c r="D5" s="32" t="s">
        <v>141</v>
      </c>
      <c r="E5" s="32" t="s">
        <v>142</v>
      </c>
      <c r="F5" s="32" t="s">
        <v>143</v>
      </c>
      <c r="G5" s="32" t="s">
        <v>40</v>
      </c>
      <c r="H5" s="32" t="s">
        <v>61</v>
      </c>
    </row>
    <row r="6" spans="1:8" ht="38.25" x14ac:dyDescent="0.2">
      <c r="A6" s="32">
        <v>2026</v>
      </c>
      <c r="B6" s="32" t="s">
        <v>109</v>
      </c>
      <c r="C6" s="32" t="s">
        <v>131</v>
      </c>
      <c r="D6" s="32" t="s">
        <v>144</v>
      </c>
      <c r="E6" s="32" t="s">
        <v>145</v>
      </c>
      <c r="F6" s="32" t="s">
        <v>146</v>
      </c>
      <c r="G6" s="32" t="s">
        <v>40</v>
      </c>
      <c r="H6" s="32" t="s">
        <v>61</v>
      </c>
    </row>
    <row r="7" spans="1:8" ht="25.5" x14ac:dyDescent="0.2">
      <c r="A7" s="32">
        <v>2026</v>
      </c>
      <c r="B7" s="32" t="s">
        <v>109</v>
      </c>
      <c r="C7" s="32" t="s">
        <v>131</v>
      </c>
      <c r="D7" s="32" t="s">
        <v>147</v>
      </c>
      <c r="E7" s="32" t="s">
        <v>148</v>
      </c>
      <c r="F7" s="32" t="s">
        <v>149</v>
      </c>
      <c r="G7" s="32" t="s">
        <v>40</v>
      </c>
      <c r="H7" s="32" t="s">
        <v>61</v>
      </c>
    </row>
    <row r="8" spans="1:8" ht="38.25" x14ac:dyDescent="0.2">
      <c r="A8" s="32">
        <v>2026</v>
      </c>
      <c r="B8" s="32" t="s">
        <v>109</v>
      </c>
      <c r="C8" s="32" t="s">
        <v>131</v>
      </c>
      <c r="D8" s="32" t="s">
        <v>150</v>
      </c>
      <c r="E8" s="32" t="s">
        <v>151</v>
      </c>
      <c r="F8" s="32" t="s">
        <v>152</v>
      </c>
      <c r="G8" s="32" t="s">
        <v>40</v>
      </c>
      <c r="H8" s="32" t="s">
        <v>61</v>
      </c>
    </row>
    <row r="9" spans="1:8" ht="51" x14ac:dyDescent="0.2">
      <c r="A9" s="32">
        <v>2026</v>
      </c>
      <c r="B9" s="32" t="s">
        <v>109</v>
      </c>
      <c r="C9" s="32" t="s">
        <v>131</v>
      </c>
      <c r="D9" s="32" t="s">
        <v>153</v>
      </c>
      <c r="E9" s="32" t="s">
        <v>154</v>
      </c>
      <c r="F9" s="32" t="s">
        <v>155</v>
      </c>
      <c r="G9" s="32" t="s">
        <v>40</v>
      </c>
      <c r="H9" s="32" t="s">
        <v>61</v>
      </c>
    </row>
    <row r="10" spans="1:8" ht="38.25" x14ac:dyDescent="0.2">
      <c r="A10" s="32">
        <v>2026</v>
      </c>
      <c r="B10" s="32" t="s">
        <v>109</v>
      </c>
      <c r="C10" s="32" t="s">
        <v>131</v>
      </c>
      <c r="D10" s="32" t="s">
        <v>153</v>
      </c>
      <c r="E10" s="32" t="s">
        <v>156</v>
      </c>
      <c r="F10" s="32" t="s">
        <v>157</v>
      </c>
      <c r="G10" s="32" t="s">
        <v>40</v>
      </c>
      <c r="H10" s="32" t="s">
        <v>61</v>
      </c>
    </row>
    <row r="11" spans="1:8" ht="38.25" x14ac:dyDescent="0.2">
      <c r="A11" s="32">
        <v>2026</v>
      </c>
      <c r="B11" s="32" t="s">
        <v>109</v>
      </c>
      <c r="C11" s="32" t="s">
        <v>131</v>
      </c>
      <c r="D11" s="32" t="s">
        <v>153</v>
      </c>
      <c r="E11" s="32" t="s">
        <v>158</v>
      </c>
      <c r="F11" s="32" t="s">
        <v>159</v>
      </c>
      <c r="G11" s="32" t="s">
        <v>40</v>
      </c>
      <c r="H11" s="32" t="s">
        <v>61</v>
      </c>
    </row>
    <row r="12" spans="1:8" ht="89.25" x14ac:dyDescent="0.2">
      <c r="A12" s="32">
        <v>2026</v>
      </c>
      <c r="B12" s="32" t="s">
        <v>109</v>
      </c>
      <c r="C12" s="32" t="s">
        <v>160</v>
      </c>
      <c r="D12" s="32" t="s">
        <v>161</v>
      </c>
      <c r="E12" s="32" t="s">
        <v>162</v>
      </c>
      <c r="F12" s="32" t="s">
        <v>163</v>
      </c>
      <c r="G12" s="32" t="s">
        <v>40</v>
      </c>
      <c r="H12" s="32" t="s">
        <v>61</v>
      </c>
    </row>
    <row r="13" spans="1:8" ht="89.25" x14ac:dyDescent="0.2">
      <c r="A13" s="32">
        <v>2026</v>
      </c>
      <c r="B13" s="32" t="s">
        <v>109</v>
      </c>
      <c r="C13" s="32" t="s">
        <v>160</v>
      </c>
      <c r="D13" s="32" t="s">
        <v>161</v>
      </c>
      <c r="E13" s="32" t="s">
        <v>164</v>
      </c>
      <c r="F13" s="32" t="s">
        <v>165</v>
      </c>
      <c r="G13" s="32" t="s">
        <v>40</v>
      </c>
      <c r="H13" s="32" t="s">
        <v>61</v>
      </c>
    </row>
    <row r="14" spans="1:8" ht="89.25" x14ac:dyDescent="0.2">
      <c r="A14" s="32">
        <v>2026</v>
      </c>
      <c r="B14" s="32" t="s">
        <v>109</v>
      </c>
      <c r="C14" s="32" t="s">
        <v>160</v>
      </c>
      <c r="D14" s="32" t="s">
        <v>161</v>
      </c>
      <c r="E14" s="32" t="s">
        <v>166</v>
      </c>
      <c r="F14" s="32" t="s">
        <v>167</v>
      </c>
      <c r="G14" s="32" t="s">
        <v>40</v>
      </c>
      <c r="H14" s="32" t="s">
        <v>61</v>
      </c>
    </row>
    <row r="15" spans="1:8" ht="76.5" x14ac:dyDescent="0.2">
      <c r="A15" s="32">
        <v>2026</v>
      </c>
      <c r="B15" s="32" t="s">
        <v>109</v>
      </c>
      <c r="C15" s="32" t="s">
        <v>160</v>
      </c>
      <c r="D15" s="32" t="s">
        <v>161</v>
      </c>
      <c r="E15" s="32" t="s">
        <v>168</v>
      </c>
      <c r="F15" s="32" t="s">
        <v>169</v>
      </c>
      <c r="G15" s="32" t="s">
        <v>40</v>
      </c>
      <c r="H15" s="32" t="s">
        <v>61</v>
      </c>
    </row>
    <row r="16" spans="1:8" ht="76.5" x14ac:dyDescent="0.2">
      <c r="A16" s="32">
        <v>2026</v>
      </c>
      <c r="B16" s="32" t="s">
        <v>109</v>
      </c>
      <c r="C16" s="32" t="s">
        <v>160</v>
      </c>
      <c r="D16" s="32" t="s">
        <v>161</v>
      </c>
      <c r="E16" s="32" t="s">
        <v>170</v>
      </c>
      <c r="F16" s="32" t="s">
        <v>171</v>
      </c>
      <c r="G16" s="32" t="s">
        <v>40</v>
      </c>
      <c r="H16" s="32" t="s">
        <v>61</v>
      </c>
    </row>
    <row r="17" spans="1:8" ht="153" x14ac:dyDescent="0.2">
      <c r="A17" s="32">
        <v>2026</v>
      </c>
      <c r="B17" s="32" t="s">
        <v>109</v>
      </c>
      <c r="C17" s="32" t="s">
        <v>160</v>
      </c>
      <c r="D17" s="32" t="s">
        <v>161</v>
      </c>
      <c r="E17" s="32" t="s">
        <v>172</v>
      </c>
      <c r="F17" s="32" t="s">
        <v>173</v>
      </c>
      <c r="G17" s="32" t="s">
        <v>40</v>
      </c>
      <c r="H17" s="32" t="s">
        <v>61</v>
      </c>
    </row>
    <row r="18" spans="1:8" ht="38.25" x14ac:dyDescent="0.2">
      <c r="A18" s="32">
        <v>2026</v>
      </c>
      <c r="B18" s="32" t="s">
        <v>109</v>
      </c>
      <c r="C18" s="32" t="s">
        <v>160</v>
      </c>
      <c r="D18" s="32" t="s">
        <v>174</v>
      </c>
      <c r="E18" s="32" t="s">
        <v>175</v>
      </c>
      <c r="F18" s="32" t="s">
        <v>176</v>
      </c>
      <c r="G18" s="32" t="s">
        <v>40</v>
      </c>
      <c r="H18" s="32" t="s">
        <v>61</v>
      </c>
    </row>
    <row r="19" spans="1:8" ht="38.25" x14ac:dyDescent="0.2">
      <c r="A19" s="32">
        <v>2026</v>
      </c>
      <c r="B19" s="32" t="s">
        <v>109</v>
      </c>
      <c r="C19" s="32" t="s">
        <v>160</v>
      </c>
      <c r="D19" s="32" t="s">
        <v>177</v>
      </c>
      <c r="E19" s="32" t="s">
        <v>178</v>
      </c>
      <c r="F19" s="32" t="s">
        <v>179</v>
      </c>
      <c r="G19" s="32" t="s">
        <v>40</v>
      </c>
      <c r="H19" s="32" t="s">
        <v>61</v>
      </c>
    </row>
    <row r="20" spans="1:8" ht="76.5" x14ac:dyDescent="0.2">
      <c r="A20" s="32">
        <v>2026</v>
      </c>
      <c r="B20" s="32" t="s">
        <v>109</v>
      </c>
      <c r="C20" s="32" t="s">
        <v>180</v>
      </c>
      <c r="D20" s="32" t="s">
        <v>181</v>
      </c>
      <c r="E20" s="32" t="s">
        <v>182</v>
      </c>
      <c r="F20" s="32" t="s">
        <v>183</v>
      </c>
      <c r="G20" s="32" t="s">
        <v>40</v>
      </c>
      <c r="H20" s="32" t="s">
        <v>61</v>
      </c>
    </row>
    <row r="21" spans="1:8" ht="38.25" x14ac:dyDescent="0.2">
      <c r="A21" s="32">
        <v>2026</v>
      </c>
      <c r="B21" s="32" t="s">
        <v>109</v>
      </c>
      <c r="C21" s="32" t="s">
        <v>180</v>
      </c>
      <c r="D21" s="32" t="s">
        <v>184</v>
      </c>
      <c r="E21" s="32" t="s">
        <v>185</v>
      </c>
      <c r="F21" s="32" t="s">
        <v>186</v>
      </c>
      <c r="G21" s="32" t="s">
        <v>40</v>
      </c>
      <c r="H21" s="32" t="s">
        <v>61</v>
      </c>
    </row>
    <row r="22" spans="1:8" ht="63.75" x14ac:dyDescent="0.2">
      <c r="A22" s="32">
        <v>2026</v>
      </c>
      <c r="B22" s="32" t="s">
        <v>109</v>
      </c>
      <c r="C22" s="32" t="s">
        <v>180</v>
      </c>
      <c r="D22" s="32" t="s">
        <v>187</v>
      </c>
      <c r="E22" s="32" t="s">
        <v>188</v>
      </c>
      <c r="F22" s="32" t="s">
        <v>189</v>
      </c>
      <c r="G22" s="32" t="s">
        <v>40</v>
      </c>
      <c r="H22" s="32" t="s">
        <v>61</v>
      </c>
    </row>
    <row r="23" spans="1:8" ht="76.5" x14ac:dyDescent="0.2">
      <c r="A23" s="32">
        <v>2026</v>
      </c>
      <c r="B23" s="32" t="s">
        <v>109</v>
      </c>
      <c r="C23" s="32" t="s">
        <v>180</v>
      </c>
      <c r="D23" s="32" t="s">
        <v>190</v>
      </c>
      <c r="E23" s="32" t="s">
        <v>191</v>
      </c>
      <c r="F23" s="32" t="s">
        <v>192</v>
      </c>
      <c r="G23" s="32" t="s">
        <v>40</v>
      </c>
      <c r="H23" s="32" t="s">
        <v>61</v>
      </c>
    </row>
    <row r="24" spans="1:8" ht="76.5" x14ac:dyDescent="0.2">
      <c r="A24" s="32">
        <v>2026</v>
      </c>
      <c r="B24" s="32" t="s">
        <v>109</v>
      </c>
      <c r="C24" s="32" t="s">
        <v>180</v>
      </c>
      <c r="D24" s="32" t="s">
        <v>193</v>
      </c>
      <c r="E24" s="32" t="s">
        <v>194</v>
      </c>
      <c r="F24" s="32" t="s">
        <v>195</v>
      </c>
      <c r="G24" s="32" t="s">
        <v>40</v>
      </c>
      <c r="H24" s="32" t="s">
        <v>61</v>
      </c>
    </row>
    <row r="25" spans="1:8" ht="89.25" x14ac:dyDescent="0.2">
      <c r="A25" s="32">
        <v>2026</v>
      </c>
      <c r="B25" s="32" t="s">
        <v>109</v>
      </c>
      <c r="C25" s="32" t="s">
        <v>180</v>
      </c>
      <c r="D25" s="32" t="s">
        <v>196</v>
      </c>
      <c r="E25" s="32" t="s">
        <v>197</v>
      </c>
      <c r="F25" s="32" t="s">
        <v>198</v>
      </c>
      <c r="G25" s="32" t="s">
        <v>40</v>
      </c>
      <c r="H25" s="32" t="s">
        <v>61</v>
      </c>
    </row>
    <row r="26" spans="1:8" ht="63.75" x14ac:dyDescent="0.2">
      <c r="A26" s="32">
        <v>2026</v>
      </c>
      <c r="B26" s="32" t="s">
        <v>109</v>
      </c>
      <c r="C26" s="32" t="s">
        <v>180</v>
      </c>
      <c r="D26" s="32" t="s">
        <v>199</v>
      </c>
      <c r="E26" s="32" t="s">
        <v>200</v>
      </c>
      <c r="F26" s="32" t="s">
        <v>201</v>
      </c>
      <c r="G26" s="32" t="s">
        <v>40</v>
      </c>
      <c r="H26" s="32" t="s">
        <v>61</v>
      </c>
    </row>
    <row r="27" spans="1:8" ht="51" x14ac:dyDescent="0.2">
      <c r="A27" s="32">
        <v>2026</v>
      </c>
      <c r="B27" s="32" t="s">
        <v>109</v>
      </c>
      <c r="C27" s="32" t="s">
        <v>180</v>
      </c>
      <c r="D27" s="32" t="s">
        <v>202</v>
      </c>
      <c r="E27" s="32" t="s">
        <v>203</v>
      </c>
      <c r="F27" s="32" t="s">
        <v>204</v>
      </c>
      <c r="G27" s="32" t="s">
        <v>40</v>
      </c>
      <c r="H27" s="32" t="s">
        <v>61</v>
      </c>
    </row>
    <row r="28" spans="1:8" ht="38.25" x14ac:dyDescent="0.2">
      <c r="A28" s="32">
        <v>2026</v>
      </c>
      <c r="B28" s="32" t="s">
        <v>109</v>
      </c>
      <c r="C28" s="32" t="s">
        <v>180</v>
      </c>
      <c r="D28" s="32" t="s">
        <v>205</v>
      </c>
      <c r="E28" s="32" t="s">
        <v>206</v>
      </c>
      <c r="F28" s="32" t="s">
        <v>207</v>
      </c>
      <c r="G28" s="32" t="s">
        <v>40</v>
      </c>
      <c r="H28" s="32" t="s">
        <v>61</v>
      </c>
    </row>
    <row r="29" spans="1:8" ht="38.25" x14ac:dyDescent="0.2">
      <c r="A29" s="32">
        <v>2026</v>
      </c>
      <c r="B29" s="32" t="s">
        <v>109</v>
      </c>
      <c r="C29" s="32" t="s">
        <v>208</v>
      </c>
      <c r="D29" s="32" t="s">
        <v>209</v>
      </c>
      <c r="E29" s="32" t="s">
        <v>210</v>
      </c>
      <c r="F29" s="32" t="s">
        <v>211</v>
      </c>
      <c r="G29" s="32" t="s">
        <v>40</v>
      </c>
      <c r="H29" s="32" t="s">
        <v>61</v>
      </c>
    </row>
    <row r="30" spans="1:8" ht="38.25" x14ac:dyDescent="0.2">
      <c r="A30" s="32">
        <v>2026</v>
      </c>
      <c r="B30" s="32" t="s">
        <v>109</v>
      </c>
      <c r="C30" s="32" t="s">
        <v>208</v>
      </c>
      <c r="D30" s="32" t="s">
        <v>212</v>
      </c>
      <c r="E30" s="32" t="s">
        <v>213</v>
      </c>
      <c r="F30" s="32" t="s">
        <v>214</v>
      </c>
      <c r="G30" s="32" t="s">
        <v>40</v>
      </c>
      <c r="H30" s="32" t="s">
        <v>61</v>
      </c>
    </row>
    <row r="31" spans="1:8" ht="38.25" x14ac:dyDescent="0.2">
      <c r="A31" s="32">
        <v>2026</v>
      </c>
      <c r="B31" s="32" t="s">
        <v>109</v>
      </c>
      <c r="C31" s="32" t="s">
        <v>208</v>
      </c>
      <c r="D31" s="32" t="s">
        <v>215</v>
      </c>
      <c r="E31" s="32" t="s">
        <v>216</v>
      </c>
      <c r="F31" s="32" t="s">
        <v>217</v>
      </c>
      <c r="G31" s="32" t="s">
        <v>40</v>
      </c>
      <c r="H31" s="32" t="s">
        <v>61</v>
      </c>
    </row>
    <row r="32" spans="1:8" ht="38.25" x14ac:dyDescent="0.2">
      <c r="A32" s="32">
        <v>2026</v>
      </c>
      <c r="B32" s="32" t="s">
        <v>109</v>
      </c>
      <c r="C32" s="32" t="s">
        <v>208</v>
      </c>
      <c r="D32" s="32" t="s">
        <v>218</v>
      </c>
      <c r="E32" s="32" t="s">
        <v>219</v>
      </c>
      <c r="F32" s="32" t="s">
        <v>220</v>
      </c>
      <c r="G32" s="32" t="s">
        <v>40</v>
      </c>
      <c r="H32" s="32" t="s">
        <v>61</v>
      </c>
    </row>
    <row r="33" spans="1:8" ht="38.25" x14ac:dyDescent="0.2">
      <c r="A33" s="32">
        <v>2026</v>
      </c>
      <c r="B33" s="32" t="s">
        <v>109</v>
      </c>
      <c r="C33" s="32" t="s">
        <v>208</v>
      </c>
      <c r="D33" s="32" t="s">
        <v>221</v>
      </c>
      <c r="E33" s="32" t="s">
        <v>222</v>
      </c>
      <c r="F33" s="32" t="s">
        <v>223</v>
      </c>
      <c r="G33" s="32" t="s">
        <v>40</v>
      </c>
      <c r="H33" s="32" t="s">
        <v>61</v>
      </c>
    </row>
    <row r="34" spans="1:8" ht="38.25" x14ac:dyDescent="0.2">
      <c r="A34" s="32">
        <v>2026</v>
      </c>
      <c r="B34" s="32" t="s">
        <v>109</v>
      </c>
      <c r="C34" s="32" t="s">
        <v>208</v>
      </c>
      <c r="D34" s="32" t="s">
        <v>224</v>
      </c>
      <c r="E34" s="32" t="s">
        <v>225</v>
      </c>
      <c r="F34" s="32" t="s">
        <v>226</v>
      </c>
      <c r="G34" s="32" t="s">
        <v>40</v>
      </c>
      <c r="H34" s="32" t="s">
        <v>61</v>
      </c>
    </row>
    <row r="35" spans="1:8" ht="38.25" x14ac:dyDescent="0.2">
      <c r="A35" s="32">
        <v>2026</v>
      </c>
      <c r="B35" s="32" t="s">
        <v>109</v>
      </c>
      <c r="C35" s="32" t="s">
        <v>208</v>
      </c>
      <c r="D35" s="32" t="s">
        <v>227</v>
      </c>
      <c r="E35" s="32" t="s">
        <v>228</v>
      </c>
      <c r="F35" s="32" t="s">
        <v>229</v>
      </c>
      <c r="G35" s="32" t="s">
        <v>40</v>
      </c>
      <c r="H35" s="32" t="s">
        <v>61</v>
      </c>
    </row>
    <row r="36" spans="1:8" ht="25.5" x14ac:dyDescent="0.2">
      <c r="A36" s="32">
        <v>2026</v>
      </c>
      <c r="B36" s="32" t="s">
        <v>109</v>
      </c>
      <c r="C36" s="32" t="s">
        <v>208</v>
      </c>
      <c r="D36" s="32" t="s">
        <v>230</v>
      </c>
      <c r="E36" s="32" t="s">
        <v>231</v>
      </c>
      <c r="F36" s="32" t="s">
        <v>232</v>
      </c>
      <c r="G36" s="32" t="s">
        <v>40</v>
      </c>
      <c r="H36" s="32" t="s">
        <v>61</v>
      </c>
    </row>
    <row r="37" spans="1:8" ht="51" x14ac:dyDescent="0.2">
      <c r="A37" s="32">
        <v>2026</v>
      </c>
      <c r="B37" s="32" t="s">
        <v>109</v>
      </c>
      <c r="C37" s="32" t="s">
        <v>208</v>
      </c>
      <c r="D37" s="32" t="s">
        <v>233</v>
      </c>
      <c r="E37" s="32" t="s">
        <v>234</v>
      </c>
      <c r="F37" s="32" t="s">
        <v>235</v>
      </c>
      <c r="G37" s="32" t="s">
        <v>40</v>
      </c>
      <c r="H37" s="32" t="s">
        <v>61</v>
      </c>
    </row>
    <row r="38" spans="1:8" ht="25.5" x14ac:dyDescent="0.2">
      <c r="A38" s="32">
        <v>2026</v>
      </c>
      <c r="B38" s="32" t="s">
        <v>109</v>
      </c>
      <c r="C38" s="32" t="s">
        <v>236</v>
      </c>
      <c r="D38" s="32" t="s">
        <v>237</v>
      </c>
      <c r="E38" s="32" t="s">
        <v>238</v>
      </c>
      <c r="F38" s="32" t="s">
        <v>239</v>
      </c>
      <c r="G38" s="32" t="s">
        <v>40</v>
      </c>
      <c r="H38" s="32" t="s">
        <v>61</v>
      </c>
    </row>
    <row r="39" spans="1:8" ht="51" x14ac:dyDescent="0.2">
      <c r="A39" s="32">
        <v>2026</v>
      </c>
      <c r="B39" s="32" t="s">
        <v>109</v>
      </c>
      <c r="C39" s="32" t="s">
        <v>236</v>
      </c>
      <c r="D39" s="32" t="s">
        <v>240</v>
      </c>
      <c r="E39" s="32" t="s">
        <v>241</v>
      </c>
      <c r="F39" s="32" t="s">
        <v>242</v>
      </c>
      <c r="G39" s="32" t="s">
        <v>40</v>
      </c>
      <c r="H39" s="32" t="s">
        <v>61</v>
      </c>
    </row>
    <row r="40" spans="1:8" ht="38.25" x14ac:dyDescent="0.2">
      <c r="A40" s="32">
        <v>2026</v>
      </c>
      <c r="B40" s="32" t="s">
        <v>109</v>
      </c>
      <c r="C40" s="32" t="s">
        <v>236</v>
      </c>
      <c r="D40" s="32" t="s">
        <v>243</v>
      </c>
      <c r="E40" s="32" t="s">
        <v>244</v>
      </c>
      <c r="F40" s="32" t="s">
        <v>245</v>
      </c>
      <c r="G40" s="32" t="s">
        <v>40</v>
      </c>
      <c r="H40" s="32" t="s">
        <v>61</v>
      </c>
    </row>
    <row r="41" spans="1:8" ht="51" x14ac:dyDescent="0.2">
      <c r="A41" s="32">
        <v>2026</v>
      </c>
      <c r="B41" s="32" t="s">
        <v>109</v>
      </c>
      <c r="C41" s="32" t="s">
        <v>236</v>
      </c>
      <c r="D41" s="32" t="s">
        <v>246</v>
      </c>
      <c r="E41" s="32" t="s">
        <v>247</v>
      </c>
      <c r="F41" s="32" t="s">
        <v>248</v>
      </c>
      <c r="G41" s="32" t="s">
        <v>40</v>
      </c>
      <c r="H41" s="32" t="s">
        <v>61</v>
      </c>
    </row>
    <row r="42" spans="1:8" ht="63.75" x14ac:dyDescent="0.2">
      <c r="A42" s="32">
        <v>2026</v>
      </c>
      <c r="B42" s="32" t="s">
        <v>109</v>
      </c>
      <c r="C42" s="32" t="s">
        <v>236</v>
      </c>
      <c r="D42" s="32" t="s">
        <v>246</v>
      </c>
      <c r="E42" s="32" t="s">
        <v>249</v>
      </c>
      <c r="F42" s="32" t="s">
        <v>250</v>
      </c>
      <c r="G42" s="32" t="s">
        <v>40</v>
      </c>
      <c r="H42" s="32" t="s">
        <v>61</v>
      </c>
    </row>
    <row r="43" spans="1:8" ht="51" x14ac:dyDescent="0.2">
      <c r="A43" s="32">
        <v>2026</v>
      </c>
      <c r="B43" s="32" t="s">
        <v>109</v>
      </c>
      <c r="C43" s="32" t="s">
        <v>236</v>
      </c>
      <c r="D43" s="32" t="s">
        <v>251</v>
      </c>
      <c r="E43" s="32" t="s">
        <v>252</v>
      </c>
      <c r="F43" s="32" t="s">
        <v>253</v>
      </c>
      <c r="G43" s="32" t="s">
        <v>40</v>
      </c>
      <c r="H43" s="32" t="s">
        <v>61</v>
      </c>
    </row>
    <row r="44" spans="1:8" ht="38.25" x14ac:dyDescent="0.2">
      <c r="A44" s="32">
        <v>2026</v>
      </c>
      <c r="B44" s="32" t="s">
        <v>109</v>
      </c>
      <c r="C44" s="32" t="s">
        <v>236</v>
      </c>
      <c r="D44" s="32" t="s">
        <v>254</v>
      </c>
      <c r="E44" s="32" t="s">
        <v>255</v>
      </c>
      <c r="F44" s="32" t="s">
        <v>256</v>
      </c>
      <c r="G44" s="32" t="s">
        <v>40</v>
      </c>
      <c r="H44" s="32" t="s">
        <v>61</v>
      </c>
    </row>
    <row r="45" spans="1:8" ht="25.5" x14ac:dyDescent="0.2">
      <c r="A45" s="32">
        <v>2026</v>
      </c>
      <c r="B45" s="32" t="s">
        <v>109</v>
      </c>
      <c r="C45" s="32" t="s">
        <v>236</v>
      </c>
      <c r="D45" s="32" t="s">
        <v>257</v>
      </c>
      <c r="E45" s="32" t="s">
        <v>258</v>
      </c>
      <c r="F45" s="32" t="s">
        <v>259</v>
      </c>
      <c r="G45" s="32" t="s">
        <v>40</v>
      </c>
      <c r="H45" s="32" t="s">
        <v>61</v>
      </c>
    </row>
    <row r="46" spans="1:8" ht="127.5" x14ac:dyDescent="0.2">
      <c r="A46" s="32">
        <v>2026</v>
      </c>
      <c r="B46" s="32" t="s">
        <v>109</v>
      </c>
      <c r="C46" s="32" t="s">
        <v>260</v>
      </c>
      <c r="D46" s="32" t="s">
        <v>261</v>
      </c>
      <c r="E46" s="32" t="s">
        <v>262</v>
      </c>
      <c r="F46" s="32" t="s">
        <v>263</v>
      </c>
      <c r="G46" s="32" t="s">
        <v>40</v>
      </c>
      <c r="H46" s="32" t="s">
        <v>61</v>
      </c>
    </row>
    <row r="47" spans="1:8" ht="89.25" x14ac:dyDescent="0.2">
      <c r="A47" s="32">
        <v>2026</v>
      </c>
      <c r="B47" s="32" t="s">
        <v>109</v>
      </c>
      <c r="C47" s="32" t="s">
        <v>260</v>
      </c>
      <c r="D47" s="32" t="s">
        <v>261</v>
      </c>
      <c r="E47" s="32" t="s">
        <v>264</v>
      </c>
      <c r="F47" s="32" t="s">
        <v>265</v>
      </c>
      <c r="G47" s="32" t="s">
        <v>40</v>
      </c>
      <c r="H47" s="32" t="s">
        <v>61</v>
      </c>
    </row>
    <row r="48" spans="1:8" ht="89.25" x14ac:dyDescent="0.2">
      <c r="A48" s="32">
        <v>2026</v>
      </c>
      <c r="B48" s="32" t="s">
        <v>109</v>
      </c>
      <c r="C48" s="32" t="s">
        <v>260</v>
      </c>
      <c r="D48" s="32" t="s">
        <v>261</v>
      </c>
      <c r="E48" s="32" t="s">
        <v>266</v>
      </c>
      <c r="F48" s="32" t="s">
        <v>267</v>
      </c>
      <c r="G48" s="32" t="s">
        <v>40</v>
      </c>
      <c r="H48" s="32" t="s">
        <v>61</v>
      </c>
    </row>
    <row r="49" spans="1:8" ht="76.5" x14ac:dyDescent="0.2">
      <c r="A49" s="32">
        <v>2026</v>
      </c>
      <c r="B49" s="32" t="s">
        <v>109</v>
      </c>
      <c r="C49" s="32" t="s">
        <v>260</v>
      </c>
      <c r="D49" s="32" t="s">
        <v>261</v>
      </c>
      <c r="E49" s="32" t="s">
        <v>268</v>
      </c>
      <c r="F49" s="32" t="s">
        <v>269</v>
      </c>
      <c r="G49" s="32" t="s">
        <v>40</v>
      </c>
      <c r="H49" s="32" t="s">
        <v>61</v>
      </c>
    </row>
    <row r="50" spans="1:8" ht="25.5" x14ac:dyDescent="0.2">
      <c r="A50" s="32">
        <v>2026</v>
      </c>
      <c r="B50" s="32" t="s">
        <v>109</v>
      </c>
      <c r="C50" s="32" t="s">
        <v>260</v>
      </c>
      <c r="D50" s="32" t="s">
        <v>270</v>
      </c>
      <c r="E50" s="32" t="s">
        <v>271</v>
      </c>
      <c r="F50" s="32" t="s">
        <v>272</v>
      </c>
      <c r="G50" s="32" t="s">
        <v>40</v>
      </c>
      <c r="H50" s="32" t="s">
        <v>61</v>
      </c>
    </row>
    <row r="51" spans="1:8" ht="25.5" x14ac:dyDescent="0.2">
      <c r="A51" s="32">
        <v>2026</v>
      </c>
      <c r="B51" s="32" t="s">
        <v>109</v>
      </c>
      <c r="C51" s="32" t="s">
        <v>273</v>
      </c>
      <c r="D51" s="32" t="s">
        <v>274</v>
      </c>
      <c r="E51" s="32" t="s">
        <v>275</v>
      </c>
      <c r="F51" s="32" t="s">
        <v>276</v>
      </c>
      <c r="G51" s="32" t="s">
        <v>40</v>
      </c>
      <c r="H51" s="32" t="s">
        <v>61</v>
      </c>
    </row>
    <row r="52" spans="1:8" ht="51" x14ac:dyDescent="0.2">
      <c r="A52" s="32">
        <v>2026</v>
      </c>
      <c r="B52" s="32" t="s">
        <v>109</v>
      </c>
      <c r="C52" s="32" t="s">
        <v>273</v>
      </c>
      <c r="D52" s="32" t="s">
        <v>277</v>
      </c>
      <c r="E52" s="32" t="s">
        <v>278</v>
      </c>
      <c r="F52" s="32" t="s">
        <v>279</v>
      </c>
      <c r="G52" s="32" t="s">
        <v>40</v>
      </c>
      <c r="H52" s="32" t="s">
        <v>61</v>
      </c>
    </row>
    <row r="53" spans="1:8" ht="25.5" x14ac:dyDescent="0.2">
      <c r="A53" s="32">
        <v>2026</v>
      </c>
      <c r="B53" s="32" t="s">
        <v>109</v>
      </c>
      <c r="C53" s="32" t="s">
        <v>273</v>
      </c>
      <c r="D53" s="32" t="s">
        <v>280</v>
      </c>
      <c r="E53" s="32" t="s">
        <v>281</v>
      </c>
      <c r="F53" s="32" t="s">
        <v>282</v>
      </c>
      <c r="G53" s="32" t="s">
        <v>40</v>
      </c>
      <c r="H53" s="32" t="s">
        <v>61</v>
      </c>
    </row>
    <row r="54" spans="1:8" ht="25.5" x14ac:dyDescent="0.2">
      <c r="A54" s="32">
        <v>2026</v>
      </c>
      <c r="B54" s="32" t="s">
        <v>109</v>
      </c>
      <c r="C54" s="32" t="s">
        <v>273</v>
      </c>
      <c r="D54" s="32" t="s">
        <v>283</v>
      </c>
      <c r="E54" s="32" t="s">
        <v>284</v>
      </c>
      <c r="F54" s="32" t="s">
        <v>285</v>
      </c>
      <c r="G54" s="32" t="s">
        <v>40</v>
      </c>
      <c r="H54" s="32" t="s">
        <v>61</v>
      </c>
    </row>
    <row r="55" spans="1:8" ht="63.75" x14ac:dyDescent="0.2">
      <c r="A55" s="32">
        <v>2026</v>
      </c>
      <c r="B55" s="32" t="s">
        <v>109</v>
      </c>
      <c r="C55" s="32" t="s">
        <v>273</v>
      </c>
      <c r="D55" s="32" t="s">
        <v>286</v>
      </c>
      <c r="E55" s="32" t="s">
        <v>287</v>
      </c>
      <c r="F55" s="32" t="s">
        <v>288</v>
      </c>
      <c r="G55" s="32" t="s">
        <v>40</v>
      </c>
      <c r="H55" s="32" t="s">
        <v>61</v>
      </c>
    </row>
    <row r="56" spans="1:8" ht="38.25" x14ac:dyDescent="0.2">
      <c r="A56" s="32">
        <v>2026</v>
      </c>
      <c r="B56" s="32" t="s">
        <v>109</v>
      </c>
      <c r="C56" s="32" t="s">
        <v>289</v>
      </c>
      <c r="D56" s="32" t="s">
        <v>290</v>
      </c>
      <c r="E56" s="32" t="s">
        <v>291</v>
      </c>
      <c r="F56" s="32" t="s">
        <v>292</v>
      </c>
      <c r="G56" s="32" t="s">
        <v>40</v>
      </c>
      <c r="H56" s="32" t="s">
        <v>61</v>
      </c>
    </row>
    <row r="57" spans="1:8" ht="38.25" x14ac:dyDescent="0.2">
      <c r="A57" s="32">
        <v>2026</v>
      </c>
      <c r="B57" s="32" t="s">
        <v>109</v>
      </c>
      <c r="C57" s="32" t="s">
        <v>289</v>
      </c>
      <c r="D57" s="32" t="s">
        <v>293</v>
      </c>
      <c r="E57" s="32" t="s">
        <v>294</v>
      </c>
      <c r="F57" s="32" t="s">
        <v>295</v>
      </c>
      <c r="G57" s="32" t="s">
        <v>40</v>
      </c>
      <c r="H57" s="32" t="s">
        <v>61</v>
      </c>
    </row>
    <row r="58" spans="1:8" ht="51" x14ac:dyDescent="0.2">
      <c r="A58" s="32">
        <v>2026</v>
      </c>
      <c r="B58" s="32" t="s">
        <v>109</v>
      </c>
      <c r="C58" s="32" t="s">
        <v>289</v>
      </c>
      <c r="D58" s="32" t="s">
        <v>296</v>
      </c>
      <c r="E58" s="32" t="s">
        <v>297</v>
      </c>
      <c r="F58" s="32" t="s">
        <v>298</v>
      </c>
      <c r="G58" s="32" t="s">
        <v>40</v>
      </c>
      <c r="H58" s="32" t="s">
        <v>61</v>
      </c>
    </row>
    <row r="59" spans="1:8" ht="25.5" x14ac:dyDescent="0.2">
      <c r="A59" s="32">
        <v>2026</v>
      </c>
      <c r="B59" s="32" t="s">
        <v>109</v>
      </c>
      <c r="C59" s="32" t="s">
        <v>299</v>
      </c>
      <c r="D59" s="32" t="s">
        <v>300</v>
      </c>
      <c r="E59" s="32" t="s">
        <v>301</v>
      </c>
      <c r="F59" s="32" t="s">
        <v>302</v>
      </c>
      <c r="G59" s="32" t="s">
        <v>40</v>
      </c>
      <c r="H59" s="32" t="s">
        <v>61</v>
      </c>
    </row>
    <row r="60" spans="1:8" ht="51" x14ac:dyDescent="0.2">
      <c r="A60" s="32">
        <v>2026</v>
      </c>
      <c r="B60" s="32" t="s">
        <v>109</v>
      </c>
      <c r="C60" s="32" t="s">
        <v>299</v>
      </c>
      <c r="D60" s="32" t="s">
        <v>303</v>
      </c>
      <c r="E60" s="32" t="s">
        <v>304</v>
      </c>
      <c r="F60" s="32" t="s">
        <v>305</v>
      </c>
      <c r="G60" s="32" t="s">
        <v>40</v>
      </c>
      <c r="H60" s="32" t="s">
        <v>61</v>
      </c>
    </row>
    <row r="61" spans="1:8" ht="102" x14ac:dyDescent="0.2">
      <c r="A61" s="32">
        <v>2026</v>
      </c>
      <c r="B61" s="32" t="s">
        <v>109</v>
      </c>
      <c r="C61" s="32" t="s">
        <v>299</v>
      </c>
      <c r="D61" s="32" t="s">
        <v>306</v>
      </c>
      <c r="E61" s="32" t="s">
        <v>307</v>
      </c>
      <c r="F61" s="32" t="s">
        <v>308</v>
      </c>
      <c r="G61" s="32" t="s">
        <v>40</v>
      </c>
      <c r="H61" s="32" t="s">
        <v>61</v>
      </c>
    </row>
    <row r="62" spans="1:8" ht="89.25" x14ac:dyDescent="0.2">
      <c r="A62" s="32">
        <v>2026</v>
      </c>
      <c r="B62" s="32" t="s">
        <v>109</v>
      </c>
      <c r="C62" s="32" t="s">
        <v>299</v>
      </c>
      <c r="D62" s="32" t="s">
        <v>309</v>
      </c>
      <c r="E62" s="32" t="s">
        <v>310</v>
      </c>
      <c r="F62" s="32" t="s">
        <v>311</v>
      </c>
      <c r="G62" s="32" t="s">
        <v>40</v>
      </c>
      <c r="H62" s="32" t="s">
        <v>61</v>
      </c>
    </row>
    <row r="63" spans="1:8" ht="89.25" x14ac:dyDescent="0.2">
      <c r="A63" s="32">
        <v>2026</v>
      </c>
      <c r="B63" s="32" t="s">
        <v>109</v>
      </c>
      <c r="C63" s="32" t="s">
        <v>299</v>
      </c>
      <c r="D63" s="32" t="s">
        <v>312</v>
      </c>
      <c r="E63" s="32" t="s">
        <v>313</v>
      </c>
      <c r="F63" s="32" t="s">
        <v>314</v>
      </c>
      <c r="G63" s="32" t="s">
        <v>40</v>
      </c>
      <c r="H63" s="32" t="s">
        <v>61</v>
      </c>
    </row>
    <row r="64" spans="1:8" ht="63.75" x14ac:dyDescent="0.2">
      <c r="A64" s="32">
        <v>2026</v>
      </c>
      <c r="B64" s="32" t="s">
        <v>109</v>
      </c>
      <c r="C64" s="32" t="s">
        <v>299</v>
      </c>
      <c r="D64" s="32" t="s">
        <v>315</v>
      </c>
      <c r="E64" s="32" t="s">
        <v>316</v>
      </c>
      <c r="F64" s="32" t="s">
        <v>317</v>
      </c>
      <c r="G64" s="32" t="s">
        <v>40</v>
      </c>
      <c r="H64" s="32" t="s">
        <v>61</v>
      </c>
    </row>
    <row r="65" spans="1:8" ht="76.5" x14ac:dyDescent="0.2">
      <c r="A65" s="32">
        <v>2026</v>
      </c>
      <c r="B65" s="32" t="s">
        <v>109</v>
      </c>
      <c r="C65" s="32" t="s">
        <v>299</v>
      </c>
      <c r="D65" s="32" t="s">
        <v>318</v>
      </c>
      <c r="E65" s="32" t="s">
        <v>319</v>
      </c>
      <c r="F65" s="32" t="s">
        <v>320</v>
      </c>
      <c r="G65" s="32" t="s">
        <v>40</v>
      </c>
      <c r="H65" s="32" t="s">
        <v>61</v>
      </c>
    </row>
    <row r="66" spans="1:8" ht="63.75" x14ac:dyDescent="0.2">
      <c r="A66" s="32">
        <v>2026</v>
      </c>
      <c r="B66" s="32" t="s">
        <v>109</v>
      </c>
      <c r="C66" s="32" t="s">
        <v>299</v>
      </c>
      <c r="D66" s="32" t="s">
        <v>321</v>
      </c>
      <c r="E66" s="32" t="s">
        <v>322</v>
      </c>
      <c r="F66" s="32" t="s">
        <v>323</v>
      </c>
      <c r="G66" s="32" t="s">
        <v>40</v>
      </c>
      <c r="H66" s="32" t="s">
        <v>61</v>
      </c>
    </row>
    <row r="67" spans="1:8" ht="63.75" x14ac:dyDescent="0.2">
      <c r="A67" s="32">
        <v>2026</v>
      </c>
      <c r="B67" s="32" t="s">
        <v>109</v>
      </c>
      <c r="C67" s="32" t="s">
        <v>299</v>
      </c>
      <c r="D67" s="32" t="s">
        <v>324</v>
      </c>
      <c r="E67" s="32" t="s">
        <v>325</v>
      </c>
      <c r="F67" s="32" t="s">
        <v>326</v>
      </c>
      <c r="G67" s="32" t="s">
        <v>40</v>
      </c>
      <c r="H67" s="32" t="s">
        <v>61</v>
      </c>
    </row>
    <row r="68" spans="1:8" ht="25.5" x14ac:dyDescent="0.2">
      <c r="A68" s="32">
        <v>2026</v>
      </c>
      <c r="B68" s="32" t="s">
        <v>111</v>
      </c>
      <c r="C68" s="32" t="s">
        <v>327</v>
      </c>
      <c r="D68" s="32" t="s">
        <v>328</v>
      </c>
      <c r="E68" s="32" t="s">
        <v>329</v>
      </c>
      <c r="F68" s="32" t="s">
        <v>330</v>
      </c>
      <c r="G68" s="32" t="s">
        <v>40</v>
      </c>
      <c r="H68" s="32" t="s">
        <v>61</v>
      </c>
    </row>
    <row r="69" spans="1:8" ht="38.25" x14ac:dyDescent="0.2">
      <c r="A69" s="32">
        <v>2026</v>
      </c>
      <c r="B69" s="32" t="s">
        <v>111</v>
      </c>
      <c r="C69" s="32" t="s">
        <v>327</v>
      </c>
      <c r="D69" s="32" t="s">
        <v>328</v>
      </c>
      <c r="E69" s="32" t="s">
        <v>331</v>
      </c>
      <c r="F69" s="32" t="s">
        <v>332</v>
      </c>
      <c r="G69" s="32" t="s">
        <v>40</v>
      </c>
      <c r="H69" s="32" t="s">
        <v>61</v>
      </c>
    </row>
    <row r="70" spans="1:8" x14ac:dyDescent="0.2">
      <c r="A70" s="32">
        <v>2026</v>
      </c>
      <c r="B70" s="32" t="s">
        <v>111</v>
      </c>
      <c r="C70" s="32" t="s">
        <v>327</v>
      </c>
      <c r="D70" s="32" t="s">
        <v>333</v>
      </c>
      <c r="E70" s="32" t="s">
        <v>334</v>
      </c>
      <c r="F70" s="32" t="s">
        <v>335</v>
      </c>
      <c r="G70" s="32" t="s">
        <v>40</v>
      </c>
      <c r="H70" s="32" t="s">
        <v>61</v>
      </c>
    </row>
    <row r="71" spans="1:8" x14ac:dyDescent="0.2">
      <c r="A71" s="32">
        <v>2026</v>
      </c>
      <c r="B71" s="32" t="s">
        <v>111</v>
      </c>
      <c r="C71" s="32" t="s">
        <v>327</v>
      </c>
      <c r="D71" s="32" t="s">
        <v>336</v>
      </c>
      <c r="E71" s="32" t="s">
        <v>337</v>
      </c>
      <c r="F71" s="32" t="s">
        <v>338</v>
      </c>
      <c r="G71" s="32" t="s">
        <v>40</v>
      </c>
      <c r="H71" s="32" t="s">
        <v>61</v>
      </c>
    </row>
    <row r="72" spans="1:8" ht="25.5" x14ac:dyDescent="0.2">
      <c r="A72" s="32">
        <v>2026</v>
      </c>
      <c r="B72" s="32" t="s">
        <v>111</v>
      </c>
      <c r="C72" s="32" t="s">
        <v>327</v>
      </c>
      <c r="D72" s="32" t="s">
        <v>336</v>
      </c>
      <c r="E72" s="32" t="s">
        <v>339</v>
      </c>
      <c r="F72" s="32" t="s">
        <v>340</v>
      </c>
      <c r="G72" s="32" t="s">
        <v>40</v>
      </c>
      <c r="H72" s="32" t="s">
        <v>61</v>
      </c>
    </row>
    <row r="73" spans="1:8" ht="38.25" x14ac:dyDescent="0.2">
      <c r="A73" s="32">
        <v>2026</v>
      </c>
      <c r="B73" s="32" t="s">
        <v>111</v>
      </c>
      <c r="C73" s="32" t="s">
        <v>327</v>
      </c>
      <c r="D73" s="32" t="s">
        <v>336</v>
      </c>
      <c r="E73" s="32" t="s">
        <v>341</v>
      </c>
      <c r="F73" s="32" t="s">
        <v>342</v>
      </c>
      <c r="G73" s="32" t="s">
        <v>40</v>
      </c>
      <c r="H73" s="32" t="s">
        <v>61</v>
      </c>
    </row>
    <row r="74" spans="1:8" ht="38.25" x14ac:dyDescent="0.2">
      <c r="A74" s="32">
        <v>2026</v>
      </c>
      <c r="B74" s="32" t="s">
        <v>111</v>
      </c>
      <c r="C74" s="32" t="s">
        <v>327</v>
      </c>
      <c r="D74" s="32" t="s">
        <v>343</v>
      </c>
      <c r="E74" s="32" t="s">
        <v>344</v>
      </c>
      <c r="F74" s="32" t="s">
        <v>345</v>
      </c>
      <c r="G74" s="32" t="s">
        <v>40</v>
      </c>
      <c r="H74" s="32" t="s">
        <v>61</v>
      </c>
    </row>
    <row r="75" spans="1:8" ht="25.5" x14ac:dyDescent="0.2">
      <c r="A75" s="32">
        <v>2026</v>
      </c>
      <c r="B75" s="32" t="s">
        <v>111</v>
      </c>
      <c r="C75" s="32" t="s">
        <v>327</v>
      </c>
      <c r="D75" s="32" t="s">
        <v>346</v>
      </c>
      <c r="E75" s="32" t="s">
        <v>347</v>
      </c>
      <c r="F75" s="32" t="s">
        <v>348</v>
      </c>
      <c r="G75" s="32" t="s">
        <v>40</v>
      </c>
      <c r="H75" s="32" t="s">
        <v>61</v>
      </c>
    </row>
    <row r="76" spans="1:8" ht="25.5" x14ac:dyDescent="0.2">
      <c r="A76" s="32">
        <v>2026</v>
      </c>
      <c r="B76" s="32" t="s">
        <v>111</v>
      </c>
      <c r="C76" s="32" t="s">
        <v>327</v>
      </c>
      <c r="D76" s="32" t="s">
        <v>349</v>
      </c>
      <c r="E76" s="32" t="s">
        <v>350</v>
      </c>
      <c r="F76" s="32" t="s">
        <v>351</v>
      </c>
      <c r="G76" s="32" t="s">
        <v>40</v>
      </c>
      <c r="H76" s="32" t="s">
        <v>61</v>
      </c>
    </row>
    <row r="77" spans="1:8" ht="38.25" x14ac:dyDescent="0.2">
      <c r="A77" s="32">
        <v>2026</v>
      </c>
      <c r="B77" s="32" t="s">
        <v>111</v>
      </c>
      <c r="C77" s="32" t="s">
        <v>327</v>
      </c>
      <c r="D77" s="32" t="s">
        <v>349</v>
      </c>
      <c r="E77" s="32" t="s">
        <v>352</v>
      </c>
      <c r="F77" s="32" t="s">
        <v>353</v>
      </c>
      <c r="G77" s="32" t="s">
        <v>40</v>
      </c>
      <c r="H77" s="32" t="s">
        <v>61</v>
      </c>
    </row>
    <row r="78" spans="1:8" ht="38.25" x14ac:dyDescent="0.2">
      <c r="A78" s="32">
        <v>2026</v>
      </c>
      <c r="B78" s="32" t="s">
        <v>111</v>
      </c>
      <c r="C78" s="32" t="s">
        <v>327</v>
      </c>
      <c r="D78" s="32" t="s">
        <v>354</v>
      </c>
      <c r="E78" s="32" t="s">
        <v>355</v>
      </c>
      <c r="F78" s="32" t="s">
        <v>356</v>
      </c>
      <c r="G78" s="32" t="s">
        <v>40</v>
      </c>
      <c r="H78" s="32" t="s">
        <v>61</v>
      </c>
    </row>
    <row r="79" spans="1:8" ht="51" x14ac:dyDescent="0.2">
      <c r="A79" s="32">
        <v>2026</v>
      </c>
      <c r="B79" s="32" t="s">
        <v>111</v>
      </c>
      <c r="C79" s="32" t="s">
        <v>327</v>
      </c>
      <c r="D79" s="32" t="s">
        <v>354</v>
      </c>
      <c r="E79" s="32" t="s">
        <v>357</v>
      </c>
      <c r="F79" s="32" t="s">
        <v>358</v>
      </c>
      <c r="G79" s="32" t="s">
        <v>40</v>
      </c>
      <c r="H79" s="32" t="s">
        <v>61</v>
      </c>
    </row>
    <row r="80" spans="1:8" x14ac:dyDescent="0.2">
      <c r="A80" s="32">
        <v>2026</v>
      </c>
      <c r="B80" s="32" t="s">
        <v>111</v>
      </c>
      <c r="C80" s="32" t="s">
        <v>327</v>
      </c>
      <c r="D80" s="32" t="s">
        <v>359</v>
      </c>
      <c r="E80" s="32" t="s">
        <v>360</v>
      </c>
      <c r="F80" s="32" t="s">
        <v>361</v>
      </c>
      <c r="G80" s="32" t="s">
        <v>40</v>
      </c>
      <c r="H80" s="32" t="s">
        <v>61</v>
      </c>
    </row>
    <row r="81" spans="1:8" ht="25.5" x14ac:dyDescent="0.2">
      <c r="A81" s="32">
        <v>2026</v>
      </c>
      <c r="B81" s="32" t="s">
        <v>111</v>
      </c>
      <c r="C81" s="32" t="s">
        <v>327</v>
      </c>
      <c r="D81" s="32" t="s">
        <v>359</v>
      </c>
      <c r="E81" s="32" t="s">
        <v>362</v>
      </c>
      <c r="F81" s="32" t="s">
        <v>363</v>
      </c>
      <c r="G81" s="32" t="s">
        <v>40</v>
      </c>
      <c r="H81" s="32" t="s">
        <v>61</v>
      </c>
    </row>
    <row r="82" spans="1:8" ht="38.25" x14ac:dyDescent="0.2">
      <c r="A82" s="32">
        <v>2026</v>
      </c>
      <c r="B82" s="32" t="s">
        <v>111</v>
      </c>
      <c r="C82" s="32" t="s">
        <v>327</v>
      </c>
      <c r="D82" s="32" t="s">
        <v>364</v>
      </c>
      <c r="E82" s="32" t="s">
        <v>365</v>
      </c>
      <c r="F82" s="32" t="s">
        <v>366</v>
      </c>
      <c r="G82" s="32" t="s">
        <v>40</v>
      </c>
      <c r="H82" s="32" t="s">
        <v>61</v>
      </c>
    </row>
    <row r="83" spans="1:8" ht="51" x14ac:dyDescent="0.2">
      <c r="A83" s="32">
        <v>2026</v>
      </c>
      <c r="B83" s="32" t="s">
        <v>111</v>
      </c>
      <c r="C83" s="32" t="s">
        <v>327</v>
      </c>
      <c r="D83" s="32" t="s">
        <v>364</v>
      </c>
      <c r="E83" s="32" t="s">
        <v>367</v>
      </c>
      <c r="F83" s="32" t="s">
        <v>368</v>
      </c>
      <c r="G83" s="32" t="s">
        <v>40</v>
      </c>
      <c r="H83" s="32" t="s">
        <v>61</v>
      </c>
    </row>
    <row r="84" spans="1:8" ht="25.5" x14ac:dyDescent="0.2">
      <c r="A84" s="32">
        <v>2026</v>
      </c>
      <c r="B84" s="32" t="s">
        <v>111</v>
      </c>
      <c r="C84" s="32" t="s">
        <v>327</v>
      </c>
      <c r="D84" s="32" t="s">
        <v>364</v>
      </c>
      <c r="E84" s="32" t="s">
        <v>369</v>
      </c>
      <c r="F84" s="32" t="s">
        <v>370</v>
      </c>
      <c r="G84" s="32" t="s">
        <v>40</v>
      </c>
      <c r="H84" s="32" t="s">
        <v>61</v>
      </c>
    </row>
    <row r="85" spans="1:8" ht="25.5" x14ac:dyDescent="0.2">
      <c r="A85" s="32">
        <v>2026</v>
      </c>
      <c r="B85" s="32" t="s">
        <v>111</v>
      </c>
      <c r="C85" s="32" t="s">
        <v>371</v>
      </c>
      <c r="D85" s="32" t="s">
        <v>372</v>
      </c>
      <c r="E85" s="32" t="s">
        <v>373</v>
      </c>
      <c r="F85" s="32" t="s">
        <v>374</v>
      </c>
      <c r="G85" s="32" t="s">
        <v>40</v>
      </c>
      <c r="H85" s="32" t="s">
        <v>61</v>
      </c>
    </row>
    <row r="86" spans="1:8" ht="25.5" x14ac:dyDescent="0.2">
      <c r="A86" s="32">
        <v>2026</v>
      </c>
      <c r="B86" s="32" t="s">
        <v>111</v>
      </c>
      <c r="C86" s="32" t="s">
        <v>371</v>
      </c>
      <c r="D86" s="32" t="s">
        <v>375</v>
      </c>
      <c r="E86" s="32" t="s">
        <v>376</v>
      </c>
      <c r="F86" s="32" t="s">
        <v>377</v>
      </c>
      <c r="G86" s="32" t="s">
        <v>40</v>
      </c>
      <c r="H86" s="32" t="s">
        <v>61</v>
      </c>
    </row>
    <row r="87" spans="1:8" ht="25.5" x14ac:dyDescent="0.2">
      <c r="A87" s="32">
        <v>2026</v>
      </c>
      <c r="B87" s="32" t="s">
        <v>111</v>
      </c>
      <c r="C87" s="32" t="s">
        <v>371</v>
      </c>
      <c r="D87" s="32" t="s">
        <v>378</v>
      </c>
      <c r="E87" s="32" t="s">
        <v>379</v>
      </c>
      <c r="F87" s="32" t="s">
        <v>380</v>
      </c>
      <c r="G87" s="32" t="s">
        <v>40</v>
      </c>
      <c r="H87" s="32" t="s">
        <v>61</v>
      </c>
    </row>
    <row r="88" spans="1:8" ht="38.25" x14ac:dyDescent="0.2">
      <c r="A88" s="32">
        <v>2026</v>
      </c>
      <c r="B88" s="32" t="s">
        <v>111</v>
      </c>
      <c r="C88" s="32" t="s">
        <v>371</v>
      </c>
      <c r="D88" s="32" t="s">
        <v>378</v>
      </c>
      <c r="E88" s="32" t="s">
        <v>381</v>
      </c>
      <c r="F88" s="32" t="s">
        <v>382</v>
      </c>
      <c r="G88" s="32" t="s">
        <v>40</v>
      </c>
      <c r="H88" s="32" t="s">
        <v>61</v>
      </c>
    </row>
    <row r="89" spans="1:8" ht="51" x14ac:dyDescent="0.2">
      <c r="A89" s="32">
        <v>2026</v>
      </c>
      <c r="B89" s="32" t="s">
        <v>111</v>
      </c>
      <c r="C89" s="32" t="s">
        <v>371</v>
      </c>
      <c r="D89" s="32" t="s">
        <v>378</v>
      </c>
      <c r="E89" s="32" t="s">
        <v>383</v>
      </c>
      <c r="F89" s="32" t="s">
        <v>384</v>
      </c>
      <c r="G89" s="32" t="s">
        <v>40</v>
      </c>
      <c r="H89" s="32" t="s">
        <v>61</v>
      </c>
    </row>
    <row r="90" spans="1:8" ht="63.75" x14ac:dyDescent="0.2">
      <c r="A90" s="32">
        <v>2026</v>
      </c>
      <c r="B90" s="32" t="s">
        <v>111</v>
      </c>
      <c r="C90" s="32" t="s">
        <v>371</v>
      </c>
      <c r="D90" s="32" t="s">
        <v>385</v>
      </c>
      <c r="E90" s="32" t="s">
        <v>386</v>
      </c>
      <c r="F90" s="32" t="s">
        <v>387</v>
      </c>
      <c r="G90" s="32" t="s">
        <v>40</v>
      </c>
      <c r="H90" s="32" t="s">
        <v>61</v>
      </c>
    </row>
    <row r="91" spans="1:8" ht="153" x14ac:dyDescent="0.2">
      <c r="A91" s="32">
        <v>2026</v>
      </c>
      <c r="B91" s="32" t="s">
        <v>111</v>
      </c>
      <c r="C91" s="32" t="s">
        <v>371</v>
      </c>
      <c r="D91" s="32" t="s">
        <v>388</v>
      </c>
      <c r="E91" s="32" t="s">
        <v>389</v>
      </c>
      <c r="F91" s="32" t="s">
        <v>390</v>
      </c>
      <c r="G91" s="32" t="s">
        <v>40</v>
      </c>
      <c r="H91" s="32" t="s">
        <v>61</v>
      </c>
    </row>
    <row r="92" spans="1:8" ht="114.75" x14ac:dyDescent="0.2">
      <c r="A92" s="32">
        <v>2026</v>
      </c>
      <c r="B92" s="32" t="s">
        <v>111</v>
      </c>
      <c r="C92" s="32" t="s">
        <v>371</v>
      </c>
      <c r="D92" s="32" t="s">
        <v>388</v>
      </c>
      <c r="E92" s="32" t="s">
        <v>391</v>
      </c>
      <c r="F92" s="32" t="s">
        <v>392</v>
      </c>
      <c r="G92" s="32" t="s">
        <v>40</v>
      </c>
      <c r="H92" s="32" t="s">
        <v>61</v>
      </c>
    </row>
    <row r="93" spans="1:8" ht="127.5" x14ac:dyDescent="0.2">
      <c r="A93" s="32">
        <v>2026</v>
      </c>
      <c r="B93" s="32" t="s">
        <v>111</v>
      </c>
      <c r="C93" s="32" t="s">
        <v>371</v>
      </c>
      <c r="D93" s="32" t="s">
        <v>388</v>
      </c>
      <c r="E93" s="32" t="s">
        <v>393</v>
      </c>
      <c r="F93" s="32" t="s">
        <v>394</v>
      </c>
      <c r="G93" s="32" t="s">
        <v>40</v>
      </c>
      <c r="H93" s="32" t="s">
        <v>61</v>
      </c>
    </row>
    <row r="94" spans="1:8" ht="127.5" x14ac:dyDescent="0.2">
      <c r="A94" s="32">
        <v>2026</v>
      </c>
      <c r="B94" s="32" t="s">
        <v>111</v>
      </c>
      <c r="C94" s="32" t="s">
        <v>371</v>
      </c>
      <c r="D94" s="32" t="s">
        <v>388</v>
      </c>
      <c r="E94" s="32" t="s">
        <v>395</v>
      </c>
      <c r="F94" s="32" t="s">
        <v>396</v>
      </c>
      <c r="G94" s="32" t="s">
        <v>40</v>
      </c>
      <c r="H94" s="32" t="s">
        <v>61</v>
      </c>
    </row>
    <row r="95" spans="1:8" ht="51" x14ac:dyDescent="0.2">
      <c r="A95" s="32">
        <v>2026</v>
      </c>
      <c r="B95" s="32" t="s">
        <v>111</v>
      </c>
      <c r="C95" s="32" t="s">
        <v>371</v>
      </c>
      <c r="D95" s="32" t="s">
        <v>397</v>
      </c>
      <c r="E95" s="32" t="s">
        <v>398</v>
      </c>
      <c r="F95" s="32" t="s">
        <v>399</v>
      </c>
      <c r="G95" s="32" t="s">
        <v>40</v>
      </c>
      <c r="H95" s="32" t="s">
        <v>61</v>
      </c>
    </row>
    <row r="96" spans="1:8" ht="38.25" x14ac:dyDescent="0.2">
      <c r="A96" s="32">
        <v>2026</v>
      </c>
      <c r="B96" s="32" t="s">
        <v>111</v>
      </c>
      <c r="C96" s="32" t="s">
        <v>371</v>
      </c>
      <c r="D96" s="32" t="s">
        <v>400</v>
      </c>
      <c r="E96" s="32" t="s">
        <v>401</v>
      </c>
      <c r="F96" s="32" t="s">
        <v>402</v>
      </c>
      <c r="G96" s="32" t="s">
        <v>40</v>
      </c>
      <c r="H96" s="32" t="s">
        <v>61</v>
      </c>
    </row>
    <row r="97" spans="1:8" ht="25.5" x14ac:dyDescent="0.2">
      <c r="A97" s="32">
        <v>2026</v>
      </c>
      <c r="B97" s="32" t="s">
        <v>111</v>
      </c>
      <c r="C97" s="32" t="s">
        <v>371</v>
      </c>
      <c r="D97" s="32" t="s">
        <v>403</v>
      </c>
      <c r="E97" s="32" t="s">
        <v>404</v>
      </c>
      <c r="F97" s="32" t="s">
        <v>405</v>
      </c>
      <c r="G97" s="32" t="s">
        <v>40</v>
      </c>
      <c r="H97" s="32" t="s">
        <v>61</v>
      </c>
    </row>
    <row r="98" spans="1:8" ht="25.5" x14ac:dyDescent="0.2">
      <c r="A98" s="32">
        <v>2026</v>
      </c>
      <c r="B98" s="32" t="s">
        <v>111</v>
      </c>
      <c r="C98" s="32" t="s">
        <v>371</v>
      </c>
      <c r="D98" s="32" t="s">
        <v>406</v>
      </c>
      <c r="E98" s="32" t="s">
        <v>407</v>
      </c>
      <c r="F98" s="32" t="s">
        <v>408</v>
      </c>
      <c r="G98" s="32" t="s">
        <v>40</v>
      </c>
      <c r="H98" s="32" t="s">
        <v>61</v>
      </c>
    </row>
    <row r="99" spans="1:8" ht="51" x14ac:dyDescent="0.2">
      <c r="A99" s="32">
        <v>2026</v>
      </c>
      <c r="B99" s="32" t="s">
        <v>111</v>
      </c>
      <c r="C99" s="32" t="s">
        <v>409</v>
      </c>
      <c r="D99" s="32" t="s">
        <v>410</v>
      </c>
      <c r="E99" s="32" t="s">
        <v>411</v>
      </c>
      <c r="F99" s="32" t="s">
        <v>412</v>
      </c>
      <c r="G99" s="32" t="s">
        <v>40</v>
      </c>
      <c r="H99" s="32" t="s">
        <v>61</v>
      </c>
    </row>
    <row r="100" spans="1:8" ht="51" x14ac:dyDescent="0.2">
      <c r="A100" s="32">
        <v>2026</v>
      </c>
      <c r="B100" s="32" t="s">
        <v>111</v>
      </c>
      <c r="C100" s="32" t="s">
        <v>409</v>
      </c>
      <c r="D100" s="32" t="s">
        <v>410</v>
      </c>
      <c r="E100" s="32" t="s">
        <v>413</v>
      </c>
      <c r="F100" s="32" t="s">
        <v>414</v>
      </c>
      <c r="G100" s="32" t="s">
        <v>40</v>
      </c>
      <c r="H100" s="32" t="s">
        <v>61</v>
      </c>
    </row>
    <row r="101" spans="1:8" ht="76.5" x14ac:dyDescent="0.2">
      <c r="A101" s="32">
        <v>2026</v>
      </c>
      <c r="B101" s="32" t="s">
        <v>111</v>
      </c>
      <c r="C101" s="32" t="s">
        <v>409</v>
      </c>
      <c r="D101" s="32" t="s">
        <v>415</v>
      </c>
      <c r="E101" s="32" t="s">
        <v>416</v>
      </c>
      <c r="F101" s="32" t="s">
        <v>417</v>
      </c>
      <c r="G101" s="32" t="s">
        <v>40</v>
      </c>
      <c r="H101" s="32" t="s">
        <v>61</v>
      </c>
    </row>
    <row r="102" spans="1:8" ht="51" x14ac:dyDescent="0.2">
      <c r="A102" s="32">
        <v>2026</v>
      </c>
      <c r="B102" s="32" t="s">
        <v>111</v>
      </c>
      <c r="C102" s="32" t="s">
        <v>409</v>
      </c>
      <c r="D102" s="32" t="s">
        <v>418</v>
      </c>
      <c r="E102" s="32" t="s">
        <v>419</v>
      </c>
      <c r="F102" s="32" t="s">
        <v>420</v>
      </c>
      <c r="G102" s="32" t="s">
        <v>40</v>
      </c>
      <c r="H102" s="32" t="s">
        <v>61</v>
      </c>
    </row>
    <row r="103" spans="1:8" ht="38.25" x14ac:dyDescent="0.2">
      <c r="A103" s="32">
        <v>2026</v>
      </c>
      <c r="B103" s="32" t="s">
        <v>111</v>
      </c>
      <c r="C103" s="32" t="s">
        <v>409</v>
      </c>
      <c r="D103" s="32" t="s">
        <v>418</v>
      </c>
      <c r="E103" s="32" t="s">
        <v>421</v>
      </c>
      <c r="F103" s="32" t="s">
        <v>422</v>
      </c>
      <c r="G103" s="32" t="s">
        <v>40</v>
      </c>
      <c r="H103" s="32" t="s">
        <v>61</v>
      </c>
    </row>
    <row r="104" spans="1:8" ht="51" x14ac:dyDescent="0.2">
      <c r="A104" s="32">
        <v>2026</v>
      </c>
      <c r="B104" s="32" t="s">
        <v>111</v>
      </c>
      <c r="C104" s="32" t="s">
        <v>409</v>
      </c>
      <c r="D104" s="32" t="s">
        <v>418</v>
      </c>
      <c r="E104" s="32" t="s">
        <v>423</v>
      </c>
      <c r="F104" s="32" t="s">
        <v>424</v>
      </c>
      <c r="G104" s="32" t="s">
        <v>40</v>
      </c>
      <c r="H104" s="32" t="s">
        <v>61</v>
      </c>
    </row>
    <row r="105" spans="1:8" ht="51" x14ac:dyDescent="0.2">
      <c r="A105" s="32">
        <v>2026</v>
      </c>
      <c r="B105" s="32" t="s">
        <v>111</v>
      </c>
      <c r="C105" s="32" t="s">
        <v>409</v>
      </c>
      <c r="D105" s="32" t="s">
        <v>418</v>
      </c>
      <c r="E105" s="32" t="s">
        <v>425</v>
      </c>
      <c r="F105" s="32" t="s">
        <v>426</v>
      </c>
      <c r="G105" s="32" t="s">
        <v>40</v>
      </c>
      <c r="H105" s="32" t="s">
        <v>61</v>
      </c>
    </row>
    <row r="106" spans="1:8" ht="25.5" x14ac:dyDescent="0.2">
      <c r="A106" s="32">
        <v>2026</v>
      </c>
      <c r="B106" s="32" t="s">
        <v>111</v>
      </c>
      <c r="C106" s="32" t="s">
        <v>409</v>
      </c>
      <c r="D106" s="32" t="s">
        <v>427</v>
      </c>
      <c r="E106" s="32" t="s">
        <v>428</v>
      </c>
      <c r="F106" s="32" t="s">
        <v>429</v>
      </c>
      <c r="G106" s="32" t="s">
        <v>40</v>
      </c>
      <c r="H106" s="32" t="s">
        <v>61</v>
      </c>
    </row>
    <row r="107" spans="1:8" ht="25.5" x14ac:dyDescent="0.2">
      <c r="A107" s="32">
        <v>2026</v>
      </c>
      <c r="B107" s="32" t="s">
        <v>111</v>
      </c>
      <c r="C107" s="32" t="s">
        <v>409</v>
      </c>
      <c r="D107" s="32" t="s">
        <v>427</v>
      </c>
      <c r="E107" s="32" t="s">
        <v>430</v>
      </c>
      <c r="F107" s="32" t="s">
        <v>431</v>
      </c>
      <c r="G107" s="32" t="s">
        <v>40</v>
      </c>
      <c r="H107" s="32" t="s">
        <v>61</v>
      </c>
    </row>
    <row r="108" spans="1:8" ht="51" x14ac:dyDescent="0.2">
      <c r="A108" s="32">
        <v>2026</v>
      </c>
      <c r="B108" s="32" t="s">
        <v>111</v>
      </c>
      <c r="C108" s="32" t="s">
        <v>409</v>
      </c>
      <c r="D108" s="32" t="s">
        <v>432</v>
      </c>
      <c r="E108" s="32" t="s">
        <v>433</v>
      </c>
      <c r="F108" s="32" t="s">
        <v>434</v>
      </c>
      <c r="G108" s="32" t="s">
        <v>40</v>
      </c>
      <c r="H108" s="32" t="s">
        <v>61</v>
      </c>
    </row>
    <row r="109" spans="1:8" ht="38.25" x14ac:dyDescent="0.2">
      <c r="A109" s="32">
        <v>2026</v>
      </c>
      <c r="B109" s="32" t="s">
        <v>111</v>
      </c>
      <c r="C109" s="32" t="s">
        <v>409</v>
      </c>
      <c r="D109" s="32" t="s">
        <v>435</v>
      </c>
      <c r="E109" s="32" t="s">
        <v>436</v>
      </c>
      <c r="F109" s="32" t="s">
        <v>437</v>
      </c>
      <c r="G109" s="32" t="s">
        <v>40</v>
      </c>
      <c r="H109" s="32" t="s">
        <v>61</v>
      </c>
    </row>
    <row r="110" spans="1:8" ht="38.25" x14ac:dyDescent="0.2">
      <c r="A110" s="32">
        <v>2026</v>
      </c>
      <c r="B110" s="32" t="s">
        <v>111</v>
      </c>
      <c r="C110" s="32" t="s">
        <v>409</v>
      </c>
      <c r="D110" s="32" t="s">
        <v>435</v>
      </c>
      <c r="E110" s="32" t="s">
        <v>438</v>
      </c>
      <c r="F110" s="32" t="s">
        <v>439</v>
      </c>
      <c r="G110" s="32" t="s">
        <v>40</v>
      </c>
      <c r="H110" s="32" t="s">
        <v>61</v>
      </c>
    </row>
    <row r="111" spans="1:8" ht="51" x14ac:dyDescent="0.2">
      <c r="A111" s="32">
        <v>2026</v>
      </c>
      <c r="B111" s="32" t="s">
        <v>111</v>
      </c>
      <c r="C111" s="32" t="s">
        <v>409</v>
      </c>
      <c r="D111" s="32" t="s">
        <v>435</v>
      </c>
      <c r="E111" s="32" t="s">
        <v>440</v>
      </c>
      <c r="F111" s="32" t="s">
        <v>441</v>
      </c>
      <c r="G111" s="32" t="s">
        <v>40</v>
      </c>
      <c r="H111" s="32" t="s">
        <v>61</v>
      </c>
    </row>
    <row r="112" spans="1:8" ht="89.25" x14ac:dyDescent="0.2">
      <c r="A112" s="32">
        <v>2026</v>
      </c>
      <c r="B112" s="32" t="s">
        <v>111</v>
      </c>
      <c r="C112" s="32" t="s">
        <v>409</v>
      </c>
      <c r="D112" s="32" t="s">
        <v>435</v>
      </c>
      <c r="E112" s="32" t="s">
        <v>442</v>
      </c>
      <c r="F112" s="32" t="s">
        <v>443</v>
      </c>
      <c r="G112" s="32" t="s">
        <v>40</v>
      </c>
      <c r="H112" s="32" t="s">
        <v>61</v>
      </c>
    </row>
    <row r="113" spans="1:8" ht="89.25" x14ac:dyDescent="0.2">
      <c r="A113" s="32">
        <v>2026</v>
      </c>
      <c r="B113" s="32" t="s">
        <v>111</v>
      </c>
      <c r="C113" s="32" t="s">
        <v>409</v>
      </c>
      <c r="D113" s="32" t="s">
        <v>435</v>
      </c>
      <c r="E113" s="32" t="s">
        <v>444</v>
      </c>
      <c r="F113" s="32" t="s">
        <v>445</v>
      </c>
      <c r="G113" s="32" t="s">
        <v>40</v>
      </c>
      <c r="H113" s="32" t="s">
        <v>61</v>
      </c>
    </row>
    <row r="114" spans="1:8" ht="25.5" x14ac:dyDescent="0.2">
      <c r="A114" s="32">
        <v>2026</v>
      </c>
      <c r="B114" s="32" t="s">
        <v>111</v>
      </c>
      <c r="C114" s="32" t="s">
        <v>409</v>
      </c>
      <c r="D114" s="32" t="s">
        <v>435</v>
      </c>
      <c r="E114" s="32" t="s">
        <v>446</v>
      </c>
      <c r="F114" s="32" t="s">
        <v>447</v>
      </c>
      <c r="G114" s="32" t="s">
        <v>40</v>
      </c>
      <c r="H114" s="32" t="s">
        <v>61</v>
      </c>
    </row>
    <row r="115" spans="1:8" ht="38.25" x14ac:dyDescent="0.2">
      <c r="A115" s="32">
        <v>2026</v>
      </c>
      <c r="B115" s="32" t="s">
        <v>111</v>
      </c>
      <c r="C115" s="32" t="s">
        <v>409</v>
      </c>
      <c r="D115" s="32" t="s">
        <v>448</v>
      </c>
      <c r="E115" s="32" t="s">
        <v>449</v>
      </c>
      <c r="F115" s="32" t="s">
        <v>450</v>
      </c>
      <c r="G115" s="32" t="s">
        <v>40</v>
      </c>
      <c r="H115" s="32" t="s">
        <v>61</v>
      </c>
    </row>
    <row r="116" spans="1:8" ht="25.5" x14ac:dyDescent="0.2">
      <c r="A116" s="32">
        <v>2026</v>
      </c>
      <c r="B116" s="32" t="s">
        <v>111</v>
      </c>
      <c r="C116" s="32" t="s">
        <v>409</v>
      </c>
      <c r="D116" s="32" t="s">
        <v>451</v>
      </c>
      <c r="E116" s="32" t="s">
        <v>452</v>
      </c>
      <c r="F116" s="32" t="s">
        <v>453</v>
      </c>
      <c r="G116" s="32" t="s">
        <v>40</v>
      </c>
      <c r="H116" s="32" t="s">
        <v>61</v>
      </c>
    </row>
    <row r="117" spans="1:8" ht="63.75" x14ac:dyDescent="0.2">
      <c r="A117" s="32">
        <v>2026</v>
      </c>
      <c r="B117" s="32" t="s">
        <v>111</v>
      </c>
      <c r="C117" s="32" t="s">
        <v>409</v>
      </c>
      <c r="D117" s="32" t="s">
        <v>454</v>
      </c>
      <c r="E117" s="32" t="s">
        <v>455</v>
      </c>
      <c r="F117" s="32" t="s">
        <v>456</v>
      </c>
      <c r="G117" s="32" t="s">
        <v>40</v>
      </c>
      <c r="H117" s="32" t="s">
        <v>61</v>
      </c>
    </row>
    <row r="118" spans="1:8" ht="38.25" x14ac:dyDescent="0.2">
      <c r="A118" s="32">
        <v>2026</v>
      </c>
      <c r="B118" s="32" t="s">
        <v>111</v>
      </c>
      <c r="C118" s="32" t="s">
        <v>457</v>
      </c>
      <c r="D118" s="32" t="s">
        <v>458</v>
      </c>
      <c r="E118" s="32" t="s">
        <v>459</v>
      </c>
      <c r="F118" s="32" t="s">
        <v>460</v>
      </c>
      <c r="G118" s="32" t="s">
        <v>40</v>
      </c>
      <c r="H118" s="32" t="s">
        <v>61</v>
      </c>
    </row>
    <row r="119" spans="1:8" ht="63.75" x14ac:dyDescent="0.2">
      <c r="A119" s="32">
        <v>2026</v>
      </c>
      <c r="B119" s="32" t="s">
        <v>111</v>
      </c>
      <c r="C119" s="32" t="s">
        <v>457</v>
      </c>
      <c r="D119" s="32" t="s">
        <v>461</v>
      </c>
      <c r="E119" s="32" t="s">
        <v>462</v>
      </c>
      <c r="F119" s="32" t="s">
        <v>463</v>
      </c>
      <c r="G119" s="32" t="s">
        <v>40</v>
      </c>
      <c r="H119" s="32" t="s">
        <v>61</v>
      </c>
    </row>
    <row r="120" spans="1:8" ht="63.75" x14ac:dyDescent="0.2">
      <c r="A120" s="32">
        <v>2026</v>
      </c>
      <c r="B120" s="32" t="s">
        <v>111</v>
      </c>
      <c r="C120" s="32" t="s">
        <v>457</v>
      </c>
      <c r="D120" s="32" t="s">
        <v>464</v>
      </c>
      <c r="E120" s="32" t="s">
        <v>465</v>
      </c>
      <c r="F120" s="32" t="s">
        <v>466</v>
      </c>
      <c r="G120" s="32" t="s">
        <v>40</v>
      </c>
      <c r="H120" s="32" t="s">
        <v>61</v>
      </c>
    </row>
    <row r="121" spans="1:8" ht="63.75" x14ac:dyDescent="0.2">
      <c r="A121" s="32">
        <v>2026</v>
      </c>
      <c r="B121" s="32" t="s">
        <v>111</v>
      </c>
      <c r="C121" s="32" t="s">
        <v>457</v>
      </c>
      <c r="D121" s="32" t="s">
        <v>467</v>
      </c>
      <c r="E121" s="32" t="s">
        <v>468</v>
      </c>
      <c r="F121" s="32" t="s">
        <v>469</v>
      </c>
      <c r="G121" s="32" t="s">
        <v>40</v>
      </c>
      <c r="H121" s="32" t="s">
        <v>61</v>
      </c>
    </row>
    <row r="122" spans="1:8" ht="38.25" x14ac:dyDescent="0.2">
      <c r="A122" s="32">
        <v>2026</v>
      </c>
      <c r="B122" s="32" t="s">
        <v>111</v>
      </c>
      <c r="C122" s="32" t="s">
        <v>457</v>
      </c>
      <c r="D122" s="32" t="s">
        <v>470</v>
      </c>
      <c r="E122" s="32" t="s">
        <v>471</v>
      </c>
      <c r="F122" s="32" t="s">
        <v>472</v>
      </c>
      <c r="G122" s="32" t="s">
        <v>40</v>
      </c>
      <c r="H122" s="32" t="s">
        <v>61</v>
      </c>
    </row>
    <row r="123" spans="1:8" ht="38.25" x14ac:dyDescent="0.2">
      <c r="A123" s="32">
        <v>2026</v>
      </c>
      <c r="B123" s="32" t="s">
        <v>111</v>
      </c>
      <c r="C123" s="32" t="s">
        <v>457</v>
      </c>
      <c r="D123" s="32" t="s">
        <v>470</v>
      </c>
      <c r="E123" s="32" t="s">
        <v>473</v>
      </c>
      <c r="F123" s="32" t="s">
        <v>474</v>
      </c>
      <c r="G123" s="32" t="s">
        <v>40</v>
      </c>
      <c r="H123" s="32" t="s">
        <v>61</v>
      </c>
    </row>
    <row r="124" spans="1:8" ht="38.25" x14ac:dyDescent="0.2">
      <c r="A124" s="32">
        <v>2026</v>
      </c>
      <c r="B124" s="32" t="s">
        <v>111</v>
      </c>
      <c r="C124" s="32" t="s">
        <v>457</v>
      </c>
      <c r="D124" s="32" t="s">
        <v>475</v>
      </c>
      <c r="E124" s="32" t="s">
        <v>476</v>
      </c>
      <c r="F124" s="32" t="s">
        <v>477</v>
      </c>
      <c r="G124" s="32" t="s">
        <v>40</v>
      </c>
      <c r="H124" s="32" t="s">
        <v>61</v>
      </c>
    </row>
    <row r="125" spans="1:8" ht="25.5" x14ac:dyDescent="0.2">
      <c r="A125" s="32">
        <v>2026</v>
      </c>
      <c r="B125" s="32" t="s">
        <v>111</v>
      </c>
      <c r="C125" s="32" t="s">
        <v>457</v>
      </c>
      <c r="D125" s="32" t="s">
        <v>478</v>
      </c>
      <c r="E125" s="32" t="s">
        <v>479</v>
      </c>
      <c r="F125" s="32" t="s">
        <v>480</v>
      </c>
      <c r="G125" s="32" t="s">
        <v>40</v>
      </c>
      <c r="H125" s="32" t="s">
        <v>61</v>
      </c>
    </row>
    <row r="126" spans="1:8" ht="25.5" x14ac:dyDescent="0.2">
      <c r="A126" s="32">
        <v>2026</v>
      </c>
      <c r="B126" s="32" t="s">
        <v>111</v>
      </c>
      <c r="C126" s="32" t="s">
        <v>457</v>
      </c>
      <c r="D126" s="32" t="s">
        <v>481</v>
      </c>
      <c r="E126" s="32" t="s">
        <v>482</v>
      </c>
      <c r="F126" s="32" t="s">
        <v>483</v>
      </c>
      <c r="G126" s="32" t="s">
        <v>40</v>
      </c>
      <c r="H126" s="32" t="s">
        <v>61</v>
      </c>
    </row>
    <row r="127" spans="1:8" ht="63.75" x14ac:dyDescent="0.2">
      <c r="A127" s="32">
        <v>2026</v>
      </c>
      <c r="B127" s="32" t="s">
        <v>111</v>
      </c>
      <c r="C127" s="32" t="s">
        <v>457</v>
      </c>
      <c r="D127" s="32" t="s">
        <v>484</v>
      </c>
      <c r="E127" s="32" t="s">
        <v>485</v>
      </c>
      <c r="F127" s="32" t="s">
        <v>486</v>
      </c>
      <c r="G127" s="32" t="s">
        <v>40</v>
      </c>
      <c r="H127" s="32" t="s">
        <v>61</v>
      </c>
    </row>
    <row r="128" spans="1:8" ht="89.25" x14ac:dyDescent="0.2">
      <c r="A128" s="32">
        <v>2026</v>
      </c>
      <c r="B128" s="32" t="s">
        <v>111</v>
      </c>
      <c r="C128" s="32" t="s">
        <v>487</v>
      </c>
      <c r="D128" s="32" t="s">
        <v>488</v>
      </c>
      <c r="E128" s="32" t="s">
        <v>489</v>
      </c>
      <c r="F128" s="32" t="s">
        <v>490</v>
      </c>
      <c r="G128" s="32" t="s">
        <v>40</v>
      </c>
      <c r="H128" s="32" t="s">
        <v>61</v>
      </c>
    </row>
    <row r="129" spans="1:8" ht="89.25" x14ac:dyDescent="0.2">
      <c r="A129" s="32">
        <v>2026</v>
      </c>
      <c r="B129" s="32" t="s">
        <v>111</v>
      </c>
      <c r="C129" s="32" t="s">
        <v>487</v>
      </c>
      <c r="D129" s="32" t="s">
        <v>488</v>
      </c>
      <c r="E129" s="32" t="s">
        <v>491</v>
      </c>
      <c r="F129" s="32" t="s">
        <v>492</v>
      </c>
      <c r="G129" s="32" t="s">
        <v>40</v>
      </c>
      <c r="H129" s="32" t="s">
        <v>61</v>
      </c>
    </row>
    <row r="130" spans="1:8" ht="89.25" x14ac:dyDescent="0.2">
      <c r="A130" s="32">
        <v>2026</v>
      </c>
      <c r="B130" s="32" t="s">
        <v>111</v>
      </c>
      <c r="C130" s="32" t="s">
        <v>487</v>
      </c>
      <c r="D130" s="32" t="s">
        <v>493</v>
      </c>
      <c r="E130" s="32" t="s">
        <v>494</v>
      </c>
      <c r="F130" s="32" t="s">
        <v>495</v>
      </c>
      <c r="G130" s="32" t="s">
        <v>40</v>
      </c>
      <c r="H130" s="32" t="s">
        <v>61</v>
      </c>
    </row>
    <row r="131" spans="1:8" ht="89.25" x14ac:dyDescent="0.2">
      <c r="A131" s="32">
        <v>2026</v>
      </c>
      <c r="B131" s="32" t="s">
        <v>111</v>
      </c>
      <c r="C131" s="32" t="s">
        <v>487</v>
      </c>
      <c r="D131" s="32" t="s">
        <v>496</v>
      </c>
      <c r="E131" s="32" t="s">
        <v>497</v>
      </c>
      <c r="F131" s="32" t="s">
        <v>498</v>
      </c>
      <c r="G131" s="32" t="s">
        <v>40</v>
      </c>
      <c r="H131" s="32" t="s">
        <v>61</v>
      </c>
    </row>
    <row r="132" spans="1:8" ht="89.25" x14ac:dyDescent="0.2">
      <c r="A132" s="32">
        <v>2026</v>
      </c>
      <c r="B132" s="32" t="s">
        <v>111</v>
      </c>
      <c r="C132" s="32" t="s">
        <v>487</v>
      </c>
      <c r="D132" s="32" t="s">
        <v>499</v>
      </c>
      <c r="E132" s="32" t="s">
        <v>500</v>
      </c>
      <c r="F132" s="32" t="s">
        <v>501</v>
      </c>
      <c r="G132" s="32" t="s">
        <v>40</v>
      </c>
      <c r="H132" s="32" t="s">
        <v>61</v>
      </c>
    </row>
    <row r="133" spans="1:8" ht="102" x14ac:dyDescent="0.2">
      <c r="A133" s="32">
        <v>2026</v>
      </c>
      <c r="B133" s="32" t="s">
        <v>111</v>
      </c>
      <c r="C133" s="32" t="s">
        <v>487</v>
      </c>
      <c r="D133" s="32" t="s">
        <v>502</v>
      </c>
      <c r="E133" s="32" t="s">
        <v>503</v>
      </c>
      <c r="F133" s="32" t="s">
        <v>504</v>
      </c>
      <c r="G133" s="32" t="s">
        <v>40</v>
      </c>
      <c r="H133" s="32" t="s">
        <v>61</v>
      </c>
    </row>
    <row r="134" spans="1:8" ht="63.75" x14ac:dyDescent="0.2">
      <c r="A134" s="32">
        <v>2026</v>
      </c>
      <c r="B134" s="32" t="s">
        <v>111</v>
      </c>
      <c r="C134" s="32" t="s">
        <v>487</v>
      </c>
      <c r="D134" s="32" t="s">
        <v>505</v>
      </c>
      <c r="E134" s="32" t="s">
        <v>506</v>
      </c>
      <c r="F134" s="32" t="s">
        <v>507</v>
      </c>
      <c r="G134" s="32" t="s">
        <v>40</v>
      </c>
      <c r="H134" s="32" t="s">
        <v>61</v>
      </c>
    </row>
    <row r="135" spans="1:8" ht="63.75" x14ac:dyDescent="0.2">
      <c r="A135" s="32">
        <v>2026</v>
      </c>
      <c r="B135" s="32" t="s">
        <v>111</v>
      </c>
      <c r="C135" s="32" t="s">
        <v>487</v>
      </c>
      <c r="D135" s="32" t="s">
        <v>508</v>
      </c>
      <c r="E135" s="32" t="s">
        <v>509</v>
      </c>
      <c r="F135" s="32" t="s">
        <v>510</v>
      </c>
      <c r="G135" s="32" t="s">
        <v>40</v>
      </c>
      <c r="H135" s="32" t="s">
        <v>61</v>
      </c>
    </row>
    <row r="136" spans="1:8" ht="89.25" x14ac:dyDescent="0.2">
      <c r="A136" s="32">
        <v>2026</v>
      </c>
      <c r="B136" s="32" t="s">
        <v>111</v>
      </c>
      <c r="C136" s="32" t="s">
        <v>487</v>
      </c>
      <c r="D136" s="32" t="s">
        <v>508</v>
      </c>
      <c r="E136" s="32" t="s">
        <v>511</v>
      </c>
      <c r="F136" s="32" t="s">
        <v>512</v>
      </c>
      <c r="G136" s="32" t="s">
        <v>40</v>
      </c>
      <c r="H136" s="32" t="s">
        <v>61</v>
      </c>
    </row>
    <row r="137" spans="1:8" ht="76.5" x14ac:dyDescent="0.2">
      <c r="A137" s="32">
        <v>2026</v>
      </c>
      <c r="B137" s="32" t="s">
        <v>111</v>
      </c>
      <c r="C137" s="32" t="s">
        <v>487</v>
      </c>
      <c r="D137" s="32" t="s">
        <v>508</v>
      </c>
      <c r="E137" s="32" t="s">
        <v>513</v>
      </c>
      <c r="F137" s="32" t="s">
        <v>514</v>
      </c>
      <c r="G137" s="32" t="s">
        <v>40</v>
      </c>
      <c r="H137" s="32" t="s">
        <v>61</v>
      </c>
    </row>
    <row r="138" spans="1:8" ht="38.25" x14ac:dyDescent="0.2">
      <c r="A138" s="32">
        <v>2026</v>
      </c>
      <c r="B138" s="32" t="s">
        <v>111</v>
      </c>
      <c r="C138" s="32" t="s">
        <v>487</v>
      </c>
      <c r="D138" s="32" t="s">
        <v>515</v>
      </c>
      <c r="E138" s="32" t="s">
        <v>516</v>
      </c>
      <c r="F138" s="32" t="s">
        <v>517</v>
      </c>
      <c r="G138" s="32" t="s">
        <v>40</v>
      </c>
      <c r="H138" s="32" t="s">
        <v>61</v>
      </c>
    </row>
    <row r="139" spans="1:8" ht="38.25" x14ac:dyDescent="0.2">
      <c r="A139" s="32">
        <v>2026</v>
      </c>
      <c r="B139" s="32" t="s">
        <v>111</v>
      </c>
      <c r="C139" s="32" t="s">
        <v>487</v>
      </c>
      <c r="D139" s="32" t="s">
        <v>518</v>
      </c>
      <c r="E139" s="32" t="s">
        <v>519</v>
      </c>
      <c r="F139" s="32" t="s">
        <v>520</v>
      </c>
      <c r="G139" s="32" t="s">
        <v>40</v>
      </c>
      <c r="H139" s="32" t="s">
        <v>61</v>
      </c>
    </row>
    <row r="140" spans="1:8" ht="102" x14ac:dyDescent="0.2">
      <c r="A140" s="32">
        <v>2026</v>
      </c>
      <c r="B140" s="32" t="s">
        <v>111</v>
      </c>
      <c r="C140" s="32" t="s">
        <v>521</v>
      </c>
      <c r="D140" s="32" t="s">
        <v>522</v>
      </c>
      <c r="E140" s="32" t="s">
        <v>523</v>
      </c>
      <c r="F140" s="32" t="s">
        <v>524</v>
      </c>
      <c r="G140" s="32" t="s">
        <v>40</v>
      </c>
      <c r="H140" s="32" t="s">
        <v>61</v>
      </c>
    </row>
    <row r="141" spans="1:8" ht="102" x14ac:dyDescent="0.2">
      <c r="A141" s="32">
        <v>2026</v>
      </c>
      <c r="B141" s="32" t="s">
        <v>111</v>
      </c>
      <c r="C141" s="32" t="s">
        <v>521</v>
      </c>
      <c r="D141" s="32" t="s">
        <v>525</v>
      </c>
      <c r="E141" s="32" t="s">
        <v>526</v>
      </c>
      <c r="F141" s="32" t="s">
        <v>527</v>
      </c>
      <c r="G141" s="32" t="s">
        <v>40</v>
      </c>
      <c r="H141" s="32" t="s">
        <v>61</v>
      </c>
    </row>
    <row r="142" spans="1:8" ht="63.75" x14ac:dyDescent="0.2">
      <c r="A142" s="32">
        <v>2026</v>
      </c>
      <c r="B142" s="32" t="s">
        <v>111</v>
      </c>
      <c r="C142" s="32" t="s">
        <v>521</v>
      </c>
      <c r="D142" s="32" t="s">
        <v>528</v>
      </c>
      <c r="E142" s="32" t="s">
        <v>529</v>
      </c>
      <c r="F142" s="32" t="s">
        <v>530</v>
      </c>
      <c r="G142" s="32" t="s">
        <v>40</v>
      </c>
      <c r="H142" s="32" t="s">
        <v>61</v>
      </c>
    </row>
    <row r="143" spans="1:8" ht="51" x14ac:dyDescent="0.2">
      <c r="A143" s="32">
        <v>2026</v>
      </c>
      <c r="B143" s="32" t="s">
        <v>111</v>
      </c>
      <c r="C143" s="32" t="s">
        <v>521</v>
      </c>
      <c r="D143" s="32" t="s">
        <v>531</v>
      </c>
      <c r="E143" s="32" t="s">
        <v>532</v>
      </c>
      <c r="F143" s="32" t="s">
        <v>533</v>
      </c>
      <c r="G143" s="32" t="s">
        <v>40</v>
      </c>
      <c r="H143" s="32" t="s">
        <v>61</v>
      </c>
    </row>
    <row r="144" spans="1:8" ht="51" x14ac:dyDescent="0.2">
      <c r="A144" s="32">
        <v>2026</v>
      </c>
      <c r="B144" s="32" t="s">
        <v>111</v>
      </c>
      <c r="C144" s="32" t="s">
        <v>521</v>
      </c>
      <c r="D144" s="32" t="s">
        <v>534</v>
      </c>
      <c r="E144" s="32" t="s">
        <v>535</v>
      </c>
      <c r="F144" s="32" t="s">
        <v>536</v>
      </c>
      <c r="G144" s="32" t="s">
        <v>40</v>
      </c>
      <c r="H144" s="32" t="s">
        <v>61</v>
      </c>
    </row>
    <row r="145" spans="1:8" ht="89.25" x14ac:dyDescent="0.2">
      <c r="A145" s="32">
        <v>2026</v>
      </c>
      <c r="B145" s="32" t="s">
        <v>111</v>
      </c>
      <c r="C145" s="32" t="s">
        <v>521</v>
      </c>
      <c r="D145" s="32" t="s">
        <v>537</v>
      </c>
      <c r="E145" s="32" t="s">
        <v>538</v>
      </c>
      <c r="F145" s="32" t="s">
        <v>539</v>
      </c>
      <c r="G145" s="32" t="s">
        <v>40</v>
      </c>
      <c r="H145" s="32" t="s">
        <v>61</v>
      </c>
    </row>
    <row r="146" spans="1:8" ht="25.5" x14ac:dyDescent="0.2">
      <c r="A146" s="32">
        <v>2026</v>
      </c>
      <c r="B146" s="32" t="s">
        <v>111</v>
      </c>
      <c r="C146" s="32" t="s">
        <v>521</v>
      </c>
      <c r="D146" s="32" t="s">
        <v>540</v>
      </c>
      <c r="E146" s="32" t="s">
        <v>541</v>
      </c>
      <c r="F146" s="32" t="s">
        <v>542</v>
      </c>
      <c r="G146" s="32" t="s">
        <v>40</v>
      </c>
      <c r="H146" s="32" t="s">
        <v>61</v>
      </c>
    </row>
    <row r="147" spans="1:8" ht="25.5" x14ac:dyDescent="0.2">
      <c r="A147" s="32">
        <v>2026</v>
      </c>
      <c r="B147" s="32" t="s">
        <v>111</v>
      </c>
      <c r="C147" s="32" t="s">
        <v>543</v>
      </c>
      <c r="D147" s="32" t="s">
        <v>544</v>
      </c>
      <c r="E147" s="32" t="s">
        <v>545</v>
      </c>
      <c r="F147" s="32" t="s">
        <v>546</v>
      </c>
      <c r="G147" s="32" t="s">
        <v>40</v>
      </c>
      <c r="H147" s="32" t="s">
        <v>61</v>
      </c>
    </row>
    <row r="148" spans="1:8" ht="25.5" x14ac:dyDescent="0.2">
      <c r="A148" s="32">
        <v>2026</v>
      </c>
      <c r="B148" s="32" t="s">
        <v>111</v>
      </c>
      <c r="C148" s="32" t="s">
        <v>543</v>
      </c>
      <c r="D148" s="32" t="s">
        <v>544</v>
      </c>
      <c r="E148" s="32" t="s">
        <v>547</v>
      </c>
      <c r="F148" s="32" t="s">
        <v>548</v>
      </c>
      <c r="G148" s="32" t="s">
        <v>40</v>
      </c>
      <c r="H148" s="32" t="s">
        <v>61</v>
      </c>
    </row>
    <row r="149" spans="1:8" ht="38.25" x14ac:dyDescent="0.2">
      <c r="A149" s="32">
        <v>2026</v>
      </c>
      <c r="B149" s="32" t="s">
        <v>111</v>
      </c>
      <c r="C149" s="32" t="s">
        <v>543</v>
      </c>
      <c r="D149" s="32" t="s">
        <v>549</v>
      </c>
      <c r="E149" s="32" t="s">
        <v>550</v>
      </c>
      <c r="F149" s="32" t="s">
        <v>551</v>
      </c>
      <c r="G149" s="32" t="s">
        <v>40</v>
      </c>
      <c r="H149" s="32" t="s">
        <v>61</v>
      </c>
    </row>
    <row r="150" spans="1:8" ht="38.25" x14ac:dyDescent="0.2">
      <c r="A150" s="32">
        <v>2026</v>
      </c>
      <c r="B150" s="32" t="s">
        <v>111</v>
      </c>
      <c r="C150" s="32" t="s">
        <v>543</v>
      </c>
      <c r="D150" s="32" t="s">
        <v>549</v>
      </c>
      <c r="E150" s="32" t="s">
        <v>552</v>
      </c>
      <c r="F150" s="32" t="s">
        <v>553</v>
      </c>
      <c r="G150" s="32" t="s">
        <v>40</v>
      </c>
      <c r="H150" s="32" t="s">
        <v>61</v>
      </c>
    </row>
    <row r="151" spans="1:8" ht="51" x14ac:dyDescent="0.2">
      <c r="A151" s="32">
        <v>2026</v>
      </c>
      <c r="B151" s="32" t="s">
        <v>111</v>
      </c>
      <c r="C151" s="32" t="s">
        <v>543</v>
      </c>
      <c r="D151" s="32" t="s">
        <v>554</v>
      </c>
      <c r="E151" s="32" t="s">
        <v>555</v>
      </c>
      <c r="F151" s="32" t="s">
        <v>556</v>
      </c>
      <c r="G151" s="32" t="s">
        <v>40</v>
      </c>
      <c r="H151" s="32" t="s">
        <v>61</v>
      </c>
    </row>
    <row r="152" spans="1:8" x14ac:dyDescent="0.2">
      <c r="A152" s="32">
        <v>2026</v>
      </c>
      <c r="B152" s="32" t="s">
        <v>111</v>
      </c>
      <c r="C152" s="32" t="s">
        <v>543</v>
      </c>
      <c r="D152" s="32" t="s">
        <v>557</v>
      </c>
      <c r="E152" s="32" t="s">
        <v>558</v>
      </c>
      <c r="F152" s="32" t="s">
        <v>559</v>
      </c>
      <c r="G152" s="32" t="s">
        <v>40</v>
      </c>
      <c r="H152" s="32" t="s">
        <v>61</v>
      </c>
    </row>
    <row r="153" spans="1:8" ht="25.5" x14ac:dyDescent="0.2">
      <c r="A153" s="32">
        <v>2026</v>
      </c>
      <c r="B153" s="32" t="s">
        <v>111</v>
      </c>
      <c r="C153" s="32" t="s">
        <v>543</v>
      </c>
      <c r="D153" s="32" t="s">
        <v>560</v>
      </c>
      <c r="E153" s="32" t="s">
        <v>561</v>
      </c>
      <c r="F153" s="32" t="s">
        <v>562</v>
      </c>
      <c r="G153" s="32" t="s">
        <v>40</v>
      </c>
      <c r="H153" s="32" t="s">
        <v>61</v>
      </c>
    </row>
    <row r="154" spans="1:8" ht="25.5" x14ac:dyDescent="0.2">
      <c r="A154" s="32">
        <v>2026</v>
      </c>
      <c r="B154" s="32" t="s">
        <v>111</v>
      </c>
      <c r="C154" s="32" t="s">
        <v>543</v>
      </c>
      <c r="D154" s="32" t="s">
        <v>563</v>
      </c>
      <c r="E154" s="32" t="s">
        <v>564</v>
      </c>
      <c r="F154" s="32" t="s">
        <v>565</v>
      </c>
      <c r="G154" s="32" t="s">
        <v>40</v>
      </c>
      <c r="H154" s="32" t="s">
        <v>61</v>
      </c>
    </row>
    <row r="155" spans="1:8" ht="51" x14ac:dyDescent="0.2">
      <c r="A155" s="32">
        <v>2026</v>
      </c>
      <c r="B155" s="32" t="s">
        <v>111</v>
      </c>
      <c r="C155" s="32" t="s">
        <v>543</v>
      </c>
      <c r="D155" s="32" t="s">
        <v>566</v>
      </c>
      <c r="E155" s="32" t="s">
        <v>567</v>
      </c>
      <c r="F155" s="32" t="s">
        <v>568</v>
      </c>
      <c r="G155" s="32" t="s">
        <v>40</v>
      </c>
      <c r="H155" s="32" t="s">
        <v>61</v>
      </c>
    </row>
    <row r="156" spans="1:8" ht="153" x14ac:dyDescent="0.2">
      <c r="A156" s="32">
        <v>2026</v>
      </c>
      <c r="B156" s="32" t="s">
        <v>111</v>
      </c>
      <c r="C156" s="32" t="s">
        <v>543</v>
      </c>
      <c r="D156" s="32" t="s">
        <v>569</v>
      </c>
      <c r="E156" s="32" t="s">
        <v>570</v>
      </c>
      <c r="F156" s="32" t="s">
        <v>571</v>
      </c>
      <c r="G156" s="32" t="s">
        <v>40</v>
      </c>
      <c r="H156" s="32" t="s">
        <v>61</v>
      </c>
    </row>
    <row r="157" spans="1:8" ht="153" x14ac:dyDescent="0.2">
      <c r="A157" s="32">
        <v>2026</v>
      </c>
      <c r="B157" s="32" t="s">
        <v>111</v>
      </c>
      <c r="C157" s="32" t="s">
        <v>543</v>
      </c>
      <c r="D157" s="32" t="s">
        <v>569</v>
      </c>
      <c r="E157" s="32" t="s">
        <v>572</v>
      </c>
      <c r="F157" s="32" t="s">
        <v>573</v>
      </c>
      <c r="G157" s="32" t="s">
        <v>40</v>
      </c>
      <c r="H157" s="32" t="s">
        <v>61</v>
      </c>
    </row>
    <row r="158" spans="1:8" ht="38.25" x14ac:dyDescent="0.2">
      <c r="A158" s="32">
        <v>2026</v>
      </c>
      <c r="B158" s="32" t="s">
        <v>111</v>
      </c>
      <c r="C158" s="32" t="s">
        <v>543</v>
      </c>
      <c r="D158" s="32" t="s">
        <v>574</v>
      </c>
      <c r="E158" s="32" t="s">
        <v>575</v>
      </c>
      <c r="F158" s="32" t="s">
        <v>576</v>
      </c>
      <c r="G158" s="32" t="s">
        <v>40</v>
      </c>
      <c r="H158" s="32" t="s">
        <v>61</v>
      </c>
    </row>
    <row r="159" spans="1:8" ht="63.75" x14ac:dyDescent="0.2">
      <c r="A159" s="32">
        <v>2026</v>
      </c>
      <c r="B159" s="32" t="s">
        <v>111</v>
      </c>
      <c r="C159" s="32" t="s">
        <v>543</v>
      </c>
      <c r="D159" s="32" t="s">
        <v>574</v>
      </c>
      <c r="E159" s="32" t="s">
        <v>46</v>
      </c>
      <c r="F159" s="32" t="s">
        <v>47</v>
      </c>
      <c r="G159" s="32" t="s">
        <v>40</v>
      </c>
      <c r="H159" s="32" t="s">
        <v>61</v>
      </c>
    </row>
    <row r="160" spans="1:8" ht="25.5" x14ac:dyDescent="0.2">
      <c r="A160" s="32">
        <v>2026</v>
      </c>
      <c r="B160" s="32" t="s">
        <v>111</v>
      </c>
      <c r="C160" s="32" t="s">
        <v>577</v>
      </c>
      <c r="D160" s="32" t="s">
        <v>578</v>
      </c>
      <c r="E160" s="32" t="s">
        <v>579</v>
      </c>
      <c r="F160" s="32" t="s">
        <v>580</v>
      </c>
      <c r="G160" s="32" t="s">
        <v>40</v>
      </c>
      <c r="H160" s="32" t="s">
        <v>61</v>
      </c>
    </row>
    <row r="161" spans="1:8" ht="25.5" x14ac:dyDescent="0.2">
      <c r="A161" s="32">
        <v>2026</v>
      </c>
      <c r="B161" s="32" t="s">
        <v>111</v>
      </c>
      <c r="C161" s="32" t="s">
        <v>577</v>
      </c>
      <c r="D161" s="32" t="s">
        <v>581</v>
      </c>
      <c r="E161" s="32" t="s">
        <v>582</v>
      </c>
      <c r="F161" s="32" t="s">
        <v>583</v>
      </c>
      <c r="G161" s="32" t="s">
        <v>40</v>
      </c>
      <c r="H161" s="32" t="s">
        <v>61</v>
      </c>
    </row>
    <row r="162" spans="1:8" ht="25.5" x14ac:dyDescent="0.2">
      <c r="A162" s="32">
        <v>2026</v>
      </c>
      <c r="B162" s="32" t="s">
        <v>111</v>
      </c>
      <c r="C162" s="32" t="s">
        <v>577</v>
      </c>
      <c r="D162" s="32" t="s">
        <v>581</v>
      </c>
      <c r="E162" s="32" t="s">
        <v>584</v>
      </c>
      <c r="F162" s="32" t="s">
        <v>585</v>
      </c>
      <c r="G162" s="32" t="s">
        <v>40</v>
      </c>
      <c r="H162" s="32" t="s">
        <v>61</v>
      </c>
    </row>
    <row r="163" spans="1:8" ht="25.5" x14ac:dyDescent="0.2">
      <c r="A163" s="32">
        <v>2026</v>
      </c>
      <c r="B163" s="32" t="s">
        <v>111</v>
      </c>
      <c r="C163" s="32" t="s">
        <v>577</v>
      </c>
      <c r="D163" s="32" t="s">
        <v>586</v>
      </c>
      <c r="E163" s="32" t="s">
        <v>587</v>
      </c>
      <c r="F163" s="32" t="s">
        <v>588</v>
      </c>
      <c r="G163" s="32" t="s">
        <v>40</v>
      </c>
      <c r="H163" s="32" t="s">
        <v>61</v>
      </c>
    </row>
    <row r="164" spans="1:8" x14ac:dyDescent="0.2">
      <c r="A164" s="32">
        <v>2026</v>
      </c>
      <c r="B164" s="32" t="s">
        <v>111</v>
      </c>
      <c r="C164" s="32" t="s">
        <v>577</v>
      </c>
      <c r="D164" s="32" t="s">
        <v>589</v>
      </c>
      <c r="E164" s="32" t="s">
        <v>590</v>
      </c>
      <c r="F164" s="32" t="s">
        <v>591</v>
      </c>
      <c r="G164" s="32" t="s">
        <v>40</v>
      </c>
      <c r="H164" s="32" t="s">
        <v>61</v>
      </c>
    </row>
    <row r="165" spans="1:8" ht="25.5" x14ac:dyDescent="0.2">
      <c r="A165" s="32">
        <v>2026</v>
      </c>
      <c r="B165" s="32" t="s">
        <v>111</v>
      </c>
      <c r="C165" s="32" t="s">
        <v>577</v>
      </c>
      <c r="D165" s="32" t="s">
        <v>592</v>
      </c>
      <c r="E165" s="32" t="s">
        <v>593</v>
      </c>
      <c r="F165" s="32" t="s">
        <v>594</v>
      </c>
      <c r="G165" s="32" t="s">
        <v>40</v>
      </c>
      <c r="H165" s="32" t="s">
        <v>61</v>
      </c>
    </row>
    <row r="166" spans="1:8" ht="38.25" x14ac:dyDescent="0.2">
      <c r="A166" s="32">
        <v>2026</v>
      </c>
      <c r="B166" s="32" t="s">
        <v>111</v>
      </c>
      <c r="C166" s="32" t="s">
        <v>595</v>
      </c>
      <c r="D166" s="32" t="s">
        <v>596</v>
      </c>
      <c r="E166" s="32" t="s">
        <v>597</v>
      </c>
      <c r="F166" s="32" t="s">
        <v>598</v>
      </c>
      <c r="G166" s="32" t="s">
        <v>40</v>
      </c>
      <c r="H166" s="32" t="s">
        <v>61</v>
      </c>
    </row>
    <row r="167" spans="1:8" ht="25.5" x14ac:dyDescent="0.2">
      <c r="A167" s="32">
        <v>2026</v>
      </c>
      <c r="B167" s="32" t="s">
        <v>111</v>
      </c>
      <c r="C167" s="32" t="s">
        <v>595</v>
      </c>
      <c r="D167" s="32" t="s">
        <v>599</v>
      </c>
      <c r="E167" s="32" t="s">
        <v>600</v>
      </c>
      <c r="F167" s="32" t="s">
        <v>601</v>
      </c>
      <c r="G167" s="32" t="s">
        <v>40</v>
      </c>
      <c r="H167" s="32" t="s">
        <v>61</v>
      </c>
    </row>
    <row r="168" spans="1:8" ht="38.25" x14ac:dyDescent="0.2">
      <c r="A168" s="32">
        <v>2026</v>
      </c>
      <c r="B168" s="32" t="s">
        <v>111</v>
      </c>
      <c r="C168" s="32" t="s">
        <v>595</v>
      </c>
      <c r="D168" s="32" t="s">
        <v>599</v>
      </c>
      <c r="E168" s="32" t="s">
        <v>602</v>
      </c>
      <c r="F168" s="32" t="s">
        <v>603</v>
      </c>
      <c r="G168" s="32" t="s">
        <v>40</v>
      </c>
      <c r="H168" s="32" t="s">
        <v>61</v>
      </c>
    </row>
    <row r="169" spans="1:8" ht="38.25" x14ac:dyDescent="0.2">
      <c r="A169" s="32">
        <v>2026</v>
      </c>
      <c r="B169" s="32" t="s">
        <v>111</v>
      </c>
      <c r="C169" s="32" t="s">
        <v>595</v>
      </c>
      <c r="D169" s="32" t="s">
        <v>604</v>
      </c>
      <c r="E169" s="32" t="s">
        <v>605</v>
      </c>
      <c r="F169" s="32" t="s">
        <v>606</v>
      </c>
      <c r="G169" s="32" t="s">
        <v>40</v>
      </c>
      <c r="H169" s="32" t="s">
        <v>61</v>
      </c>
    </row>
    <row r="170" spans="1:8" ht="38.25" x14ac:dyDescent="0.2">
      <c r="A170" s="32">
        <v>2026</v>
      </c>
      <c r="B170" s="32" t="s">
        <v>111</v>
      </c>
      <c r="C170" s="32" t="s">
        <v>595</v>
      </c>
      <c r="D170" s="32" t="s">
        <v>607</v>
      </c>
      <c r="E170" s="32" t="s">
        <v>608</v>
      </c>
      <c r="F170" s="32" t="s">
        <v>609</v>
      </c>
      <c r="G170" s="32" t="s">
        <v>40</v>
      </c>
      <c r="H170" s="32" t="s">
        <v>61</v>
      </c>
    </row>
    <row r="171" spans="1:8" ht="63.75" x14ac:dyDescent="0.2">
      <c r="A171" s="32">
        <v>2026</v>
      </c>
      <c r="B171" s="32" t="s">
        <v>111</v>
      </c>
      <c r="C171" s="32" t="s">
        <v>595</v>
      </c>
      <c r="D171" s="32" t="s">
        <v>607</v>
      </c>
      <c r="E171" s="32" t="s">
        <v>610</v>
      </c>
      <c r="F171" s="32" t="s">
        <v>611</v>
      </c>
      <c r="G171" s="32" t="s">
        <v>40</v>
      </c>
      <c r="H171" s="32" t="s">
        <v>61</v>
      </c>
    </row>
    <row r="172" spans="1:8" ht="38.25" x14ac:dyDescent="0.2">
      <c r="A172" s="32">
        <v>2026</v>
      </c>
      <c r="B172" s="32" t="s">
        <v>111</v>
      </c>
      <c r="C172" s="32" t="s">
        <v>595</v>
      </c>
      <c r="D172" s="32" t="s">
        <v>612</v>
      </c>
      <c r="E172" s="32" t="s">
        <v>613</v>
      </c>
      <c r="F172" s="32" t="s">
        <v>614</v>
      </c>
      <c r="G172" s="32" t="s">
        <v>40</v>
      </c>
      <c r="H172" s="32" t="s">
        <v>61</v>
      </c>
    </row>
    <row r="173" spans="1:8" ht="25.5" x14ac:dyDescent="0.2">
      <c r="A173" s="32">
        <v>2026</v>
      </c>
      <c r="B173" s="32" t="s">
        <v>111</v>
      </c>
      <c r="C173" s="32" t="s">
        <v>595</v>
      </c>
      <c r="D173" s="32" t="s">
        <v>615</v>
      </c>
      <c r="E173" s="32" t="s">
        <v>616</v>
      </c>
      <c r="F173" s="32" t="s">
        <v>617</v>
      </c>
      <c r="G173" s="32" t="s">
        <v>40</v>
      </c>
      <c r="H173" s="32" t="s">
        <v>61</v>
      </c>
    </row>
    <row r="174" spans="1:8" ht="51" x14ac:dyDescent="0.2">
      <c r="A174" s="32">
        <v>2026</v>
      </c>
      <c r="B174" s="32" t="s">
        <v>111</v>
      </c>
      <c r="C174" s="32" t="s">
        <v>595</v>
      </c>
      <c r="D174" s="32" t="s">
        <v>615</v>
      </c>
      <c r="E174" s="32" t="s">
        <v>618</v>
      </c>
      <c r="F174" s="32" t="s">
        <v>619</v>
      </c>
      <c r="G174" s="32" t="s">
        <v>40</v>
      </c>
      <c r="H174" s="32" t="s">
        <v>61</v>
      </c>
    </row>
    <row r="175" spans="1:8" ht="63.75" x14ac:dyDescent="0.2">
      <c r="A175" s="32">
        <v>2026</v>
      </c>
      <c r="B175" s="32" t="s">
        <v>111</v>
      </c>
      <c r="C175" s="32" t="s">
        <v>595</v>
      </c>
      <c r="D175" s="32" t="s">
        <v>620</v>
      </c>
      <c r="E175" s="32" t="s">
        <v>621</v>
      </c>
      <c r="F175" s="32" t="s">
        <v>622</v>
      </c>
      <c r="G175" s="32" t="s">
        <v>40</v>
      </c>
      <c r="H175" s="32" t="s">
        <v>61</v>
      </c>
    </row>
    <row r="176" spans="1:8" ht="38.25" x14ac:dyDescent="0.2">
      <c r="A176" s="32">
        <v>2026</v>
      </c>
      <c r="B176" s="32" t="s">
        <v>111</v>
      </c>
      <c r="C176" s="32" t="s">
        <v>595</v>
      </c>
      <c r="D176" s="32" t="s">
        <v>620</v>
      </c>
      <c r="E176" s="32" t="s">
        <v>623</v>
      </c>
      <c r="F176" s="32" t="s">
        <v>624</v>
      </c>
      <c r="G176" s="32" t="s">
        <v>40</v>
      </c>
      <c r="H176" s="32" t="s">
        <v>61</v>
      </c>
    </row>
    <row r="177" spans="1:8" ht="25.5" x14ac:dyDescent="0.2">
      <c r="A177" s="32">
        <v>2026</v>
      </c>
      <c r="B177" s="32" t="s">
        <v>111</v>
      </c>
      <c r="C177" s="32" t="s">
        <v>595</v>
      </c>
      <c r="D177" s="32" t="s">
        <v>620</v>
      </c>
      <c r="E177" s="32" t="s">
        <v>625</v>
      </c>
      <c r="F177" s="32" t="s">
        <v>626</v>
      </c>
      <c r="G177" s="32" t="s">
        <v>40</v>
      </c>
      <c r="H177" s="32" t="s">
        <v>61</v>
      </c>
    </row>
    <row r="178" spans="1:8" ht="63.75" x14ac:dyDescent="0.2">
      <c r="A178" s="32">
        <v>2026</v>
      </c>
      <c r="B178" s="32" t="s">
        <v>113</v>
      </c>
      <c r="C178" s="32" t="s">
        <v>627</v>
      </c>
      <c r="D178" s="32" t="s">
        <v>628</v>
      </c>
      <c r="E178" s="32" t="s">
        <v>629</v>
      </c>
      <c r="F178" s="32" t="s">
        <v>630</v>
      </c>
      <c r="G178" s="32" t="s">
        <v>40</v>
      </c>
      <c r="H178" s="32" t="s">
        <v>61</v>
      </c>
    </row>
    <row r="179" spans="1:8" ht="25.5" x14ac:dyDescent="0.2">
      <c r="A179" s="32">
        <v>2026</v>
      </c>
      <c r="B179" s="32" t="s">
        <v>113</v>
      </c>
      <c r="C179" s="32" t="s">
        <v>627</v>
      </c>
      <c r="D179" s="32" t="s">
        <v>628</v>
      </c>
      <c r="E179" s="32" t="s">
        <v>631</v>
      </c>
      <c r="F179" s="32" t="s">
        <v>632</v>
      </c>
      <c r="G179" s="32" t="s">
        <v>40</v>
      </c>
      <c r="H179" s="32" t="s">
        <v>61</v>
      </c>
    </row>
    <row r="180" spans="1:8" ht="51" x14ac:dyDescent="0.2">
      <c r="A180" s="32">
        <v>2026</v>
      </c>
      <c r="B180" s="32" t="s">
        <v>113</v>
      </c>
      <c r="C180" s="32" t="s">
        <v>627</v>
      </c>
      <c r="D180" s="32" t="s">
        <v>633</v>
      </c>
      <c r="E180" s="32" t="s">
        <v>634</v>
      </c>
      <c r="F180" s="32" t="s">
        <v>635</v>
      </c>
      <c r="G180" s="32" t="s">
        <v>40</v>
      </c>
      <c r="H180" s="32" t="s">
        <v>61</v>
      </c>
    </row>
    <row r="181" spans="1:8" ht="51" x14ac:dyDescent="0.2">
      <c r="A181" s="32">
        <v>2026</v>
      </c>
      <c r="B181" s="32" t="s">
        <v>113</v>
      </c>
      <c r="C181" s="32" t="s">
        <v>627</v>
      </c>
      <c r="D181" s="32" t="s">
        <v>636</v>
      </c>
      <c r="E181" s="32" t="s">
        <v>637</v>
      </c>
      <c r="F181" s="32" t="s">
        <v>638</v>
      </c>
      <c r="G181" s="32" t="s">
        <v>40</v>
      </c>
      <c r="H181" s="32" t="s">
        <v>61</v>
      </c>
    </row>
    <row r="182" spans="1:8" ht="51" x14ac:dyDescent="0.2">
      <c r="A182" s="32">
        <v>2026</v>
      </c>
      <c r="B182" s="32" t="s">
        <v>113</v>
      </c>
      <c r="C182" s="32" t="s">
        <v>627</v>
      </c>
      <c r="D182" s="32" t="s">
        <v>636</v>
      </c>
      <c r="E182" s="32" t="s">
        <v>639</v>
      </c>
      <c r="F182" s="32" t="s">
        <v>640</v>
      </c>
      <c r="G182" s="32" t="s">
        <v>40</v>
      </c>
      <c r="H182" s="32" t="s">
        <v>61</v>
      </c>
    </row>
    <row r="183" spans="1:8" ht="25.5" x14ac:dyDescent="0.2">
      <c r="A183" s="32">
        <v>2026</v>
      </c>
      <c r="B183" s="32" t="s">
        <v>113</v>
      </c>
      <c r="C183" s="32" t="s">
        <v>627</v>
      </c>
      <c r="D183" s="32" t="s">
        <v>636</v>
      </c>
      <c r="E183" s="32" t="s">
        <v>641</v>
      </c>
      <c r="F183" s="32" t="s">
        <v>642</v>
      </c>
      <c r="G183" s="32" t="s">
        <v>40</v>
      </c>
      <c r="H183" s="32" t="s">
        <v>61</v>
      </c>
    </row>
    <row r="184" spans="1:8" ht="51" x14ac:dyDescent="0.2">
      <c r="A184" s="32">
        <v>2026</v>
      </c>
      <c r="B184" s="32" t="s">
        <v>113</v>
      </c>
      <c r="C184" s="32" t="s">
        <v>627</v>
      </c>
      <c r="D184" s="32" t="s">
        <v>643</v>
      </c>
      <c r="E184" s="32" t="s">
        <v>644</v>
      </c>
      <c r="F184" s="32" t="s">
        <v>645</v>
      </c>
      <c r="G184" s="32" t="s">
        <v>40</v>
      </c>
      <c r="H184" s="32" t="s">
        <v>61</v>
      </c>
    </row>
    <row r="185" spans="1:8" ht="51" x14ac:dyDescent="0.2">
      <c r="A185" s="32">
        <v>2026</v>
      </c>
      <c r="B185" s="32" t="s">
        <v>113</v>
      </c>
      <c r="C185" s="32" t="s">
        <v>627</v>
      </c>
      <c r="D185" s="32" t="s">
        <v>646</v>
      </c>
      <c r="E185" s="32" t="s">
        <v>647</v>
      </c>
      <c r="F185" s="32" t="s">
        <v>648</v>
      </c>
      <c r="G185" s="32" t="s">
        <v>40</v>
      </c>
      <c r="H185" s="32" t="s">
        <v>61</v>
      </c>
    </row>
    <row r="186" spans="1:8" ht="25.5" x14ac:dyDescent="0.2">
      <c r="A186" s="32">
        <v>2026</v>
      </c>
      <c r="B186" s="32" t="s">
        <v>113</v>
      </c>
      <c r="C186" s="32" t="s">
        <v>627</v>
      </c>
      <c r="D186" s="32" t="s">
        <v>649</v>
      </c>
      <c r="E186" s="32" t="s">
        <v>650</v>
      </c>
      <c r="F186" s="32" t="s">
        <v>651</v>
      </c>
      <c r="G186" s="32" t="s">
        <v>40</v>
      </c>
      <c r="H186" s="32" t="s">
        <v>61</v>
      </c>
    </row>
    <row r="187" spans="1:8" ht="25.5" x14ac:dyDescent="0.2">
      <c r="A187" s="32">
        <v>2026</v>
      </c>
      <c r="B187" s="32" t="s">
        <v>113</v>
      </c>
      <c r="C187" s="32" t="s">
        <v>627</v>
      </c>
      <c r="D187" s="32" t="s">
        <v>652</v>
      </c>
      <c r="E187" s="32" t="s">
        <v>653</v>
      </c>
      <c r="F187" s="32" t="s">
        <v>654</v>
      </c>
      <c r="G187" s="32" t="s">
        <v>40</v>
      </c>
      <c r="H187" s="32" t="s">
        <v>61</v>
      </c>
    </row>
    <row r="188" spans="1:8" ht="51" x14ac:dyDescent="0.2">
      <c r="A188" s="32">
        <v>2026</v>
      </c>
      <c r="B188" s="32" t="s">
        <v>113</v>
      </c>
      <c r="C188" s="32" t="s">
        <v>627</v>
      </c>
      <c r="D188" s="32" t="s">
        <v>652</v>
      </c>
      <c r="E188" s="32" t="s">
        <v>655</v>
      </c>
      <c r="F188" s="32" t="s">
        <v>656</v>
      </c>
      <c r="G188" s="32" t="s">
        <v>40</v>
      </c>
      <c r="H188" s="32" t="s">
        <v>61</v>
      </c>
    </row>
    <row r="189" spans="1:8" ht="63.75" x14ac:dyDescent="0.2">
      <c r="A189" s="32">
        <v>2026</v>
      </c>
      <c r="B189" s="32" t="s">
        <v>113</v>
      </c>
      <c r="C189" s="32" t="s">
        <v>627</v>
      </c>
      <c r="D189" s="32" t="s">
        <v>652</v>
      </c>
      <c r="E189" s="32" t="s">
        <v>657</v>
      </c>
      <c r="F189" s="32" t="s">
        <v>658</v>
      </c>
      <c r="G189" s="32" t="s">
        <v>40</v>
      </c>
      <c r="H189" s="32" t="s">
        <v>61</v>
      </c>
    </row>
    <row r="190" spans="1:8" ht="38.25" x14ac:dyDescent="0.2">
      <c r="A190" s="32">
        <v>2026</v>
      </c>
      <c r="B190" s="32" t="s">
        <v>113</v>
      </c>
      <c r="C190" s="32" t="s">
        <v>627</v>
      </c>
      <c r="D190" s="32" t="s">
        <v>652</v>
      </c>
      <c r="E190" s="32" t="s">
        <v>659</v>
      </c>
      <c r="F190" s="32" t="s">
        <v>660</v>
      </c>
      <c r="G190" s="32" t="s">
        <v>40</v>
      </c>
      <c r="H190" s="32" t="s">
        <v>61</v>
      </c>
    </row>
    <row r="191" spans="1:8" x14ac:dyDescent="0.2">
      <c r="A191" s="32">
        <v>2026</v>
      </c>
      <c r="B191" s="32" t="s">
        <v>113</v>
      </c>
      <c r="C191" s="32" t="s">
        <v>627</v>
      </c>
      <c r="D191" s="32" t="s">
        <v>661</v>
      </c>
      <c r="E191" s="32" t="s">
        <v>662</v>
      </c>
      <c r="F191" s="32" t="s">
        <v>663</v>
      </c>
      <c r="G191" s="32" t="s">
        <v>40</v>
      </c>
      <c r="H191" s="32" t="s">
        <v>61</v>
      </c>
    </row>
    <row r="192" spans="1:8" ht="51" x14ac:dyDescent="0.2">
      <c r="A192" s="32">
        <v>2026</v>
      </c>
      <c r="B192" s="32" t="s">
        <v>113</v>
      </c>
      <c r="C192" s="32" t="s">
        <v>664</v>
      </c>
      <c r="D192" s="32" t="s">
        <v>665</v>
      </c>
      <c r="E192" s="32" t="s">
        <v>666</v>
      </c>
      <c r="F192" s="32" t="s">
        <v>667</v>
      </c>
      <c r="G192" s="32" t="s">
        <v>40</v>
      </c>
      <c r="H192" s="32" t="s">
        <v>61</v>
      </c>
    </row>
    <row r="193" spans="1:8" ht="63.75" x14ac:dyDescent="0.2">
      <c r="A193" s="32">
        <v>2026</v>
      </c>
      <c r="B193" s="32" t="s">
        <v>113</v>
      </c>
      <c r="C193" s="32" t="s">
        <v>664</v>
      </c>
      <c r="D193" s="32" t="s">
        <v>665</v>
      </c>
      <c r="E193" s="32" t="s">
        <v>668</v>
      </c>
      <c r="F193" s="32" t="s">
        <v>669</v>
      </c>
      <c r="G193" s="32" t="s">
        <v>40</v>
      </c>
      <c r="H193" s="32" t="s">
        <v>61</v>
      </c>
    </row>
    <row r="194" spans="1:8" ht="25.5" x14ac:dyDescent="0.2">
      <c r="A194" s="32">
        <v>2026</v>
      </c>
      <c r="B194" s="32" t="s">
        <v>113</v>
      </c>
      <c r="C194" s="32" t="s">
        <v>664</v>
      </c>
      <c r="D194" s="32" t="s">
        <v>665</v>
      </c>
      <c r="E194" s="32" t="s">
        <v>670</v>
      </c>
      <c r="F194" s="32" t="s">
        <v>671</v>
      </c>
      <c r="G194" s="32" t="s">
        <v>40</v>
      </c>
      <c r="H194" s="32" t="s">
        <v>61</v>
      </c>
    </row>
    <row r="195" spans="1:8" ht="38.25" x14ac:dyDescent="0.2">
      <c r="A195" s="32">
        <v>2026</v>
      </c>
      <c r="B195" s="32" t="s">
        <v>113</v>
      </c>
      <c r="C195" s="32" t="s">
        <v>664</v>
      </c>
      <c r="D195" s="32" t="s">
        <v>665</v>
      </c>
      <c r="E195" s="32" t="s">
        <v>672</v>
      </c>
      <c r="F195" s="32" t="s">
        <v>673</v>
      </c>
      <c r="G195" s="32" t="s">
        <v>40</v>
      </c>
      <c r="H195" s="32" t="s">
        <v>61</v>
      </c>
    </row>
    <row r="196" spans="1:8" ht="38.25" x14ac:dyDescent="0.2">
      <c r="A196" s="32">
        <v>2026</v>
      </c>
      <c r="B196" s="32" t="s">
        <v>113</v>
      </c>
      <c r="C196" s="32" t="s">
        <v>664</v>
      </c>
      <c r="D196" s="32" t="s">
        <v>665</v>
      </c>
      <c r="E196" s="32" t="s">
        <v>674</v>
      </c>
      <c r="F196" s="32" t="s">
        <v>675</v>
      </c>
      <c r="G196" s="32" t="s">
        <v>40</v>
      </c>
      <c r="H196" s="32" t="s">
        <v>61</v>
      </c>
    </row>
    <row r="197" spans="1:8" ht="38.25" x14ac:dyDescent="0.2">
      <c r="A197" s="32">
        <v>2026</v>
      </c>
      <c r="B197" s="32" t="s">
        <v>113</v>
      </c>
      <c r="C197" s="32" t="s">
        <v>664</v>
      </c>
      <c r="D197" s="32" t="s">
        <v>665</v>
      </c>
      <c r="E197" s="32" t="s">
        <v>676</v>
      </c>
      <c r="F197" s="32" t="s">
        <v>677</v>
      </c>
      <c r="G197" s="32" t="s">
        <v>40</v>
      </c>
      <c r="H197" s="32" t="s">
        <v>61</v>
      </c>
    </row>
    <row r="198" spans="1:8" ht="63.75" x14ac:dyDescent="0.2">
      <c r="A198" s="32">
        <v>2026</v>
      </c>
      <c r="B198" s="32" t="s">
        <v>113</v>
      </c>
      <c r="C198" s="32" t="s">
        <v>664</v>
      </c>
      <c r="D198" s="32" t="s">
        <v>665</v>
      </c>
      <c r="E198" s="32" t="s">
        <v>678</v>
      </c>
      <c r="F198" s="32" t="s">
        <v>679</v>
      </c>
      <c r="G198" s="32" t="s">
        <v>40</v>
      </c>
      <c r="H198" s="32" t="s">
        <v>61</v>
      </c>
    </row>
    <row r="199" spans="1:8" ht="51" x14ac:dyDescent="0.2">
      <c r="A199" s="32">
        <v>2026</v>
      </c>
      <c r="B199" s="32" t="s">
        <v>113</v>
      </c>
      <c r="C199" s="32" t="s">
        <v>664</v>
      </c>
      <c r="D199" s="32" t="s">
        <v>665</v>
      </c>
      <c r="E199" s="32" t="s">
        <v>680</v>
      </c>
      <c r="F199" s="32" t="s">
        <v>681</v>
      </c>
      <c r="G199" s="32" t="s">
        <v>40</v>
      </c>
      <c r="H199" s="32" t="s">
        <v>61</v>
      </c>
    </row>
    <row r="200" spans="1:8" x14ac:dyDescent="0.2">
      <c r="A200" s="32">
        <v>2026</v>
      </c>
      <c r="B200" s="32" t="s">
        <v>113</v>
      </c>
      <c r="C200" s="32" t="s">
        <v>664</v>
      </c>
      <c r="D200" s="32" t="s">
        <v>665</v>
      </c>
      <c r="E200" s="32" t="s">
        <v>52</v>
      </c>
      <c r="F200" s="32" t="s">
        <v>53</v>
      </c>
      <c r="G200" s="32" t="s">
        <v>40</v>
      </c>
      <c r="H200" s="32" t="s">
        <v>61</v>
      </c>
    </row>
    <row r="201" spans="1:8" ht="38.25" x14ac:dyDescent="0.2">
      <c r="A201" s="32">
        <v>2026</v>
      </c>
      <c r="B201" s="32" t="s">
        <v>113</v>
      </c>
      <c r="C201" s="32" t="s">
        <v>664</v>
      </c>
      <c r="D201" s="32" t="s">
        <v>682</v>
      </c>
      <c r="E201" s="32" t="s">
        <v>683</v>
      </c>
      <c r="F201" s="32" t="s">
        <v>684</v>
      </c>
      <c r="G201" s="32" t="s">
        <v>40</v>
      </c>
      <c r="H201" s="32" t="s">
        <v>61</v>
      </c>
    </row>
    <row r="202" spans="1:8" ht="51" x14ac:dyDescent="0.2">
      <c r="A202" s="32">
        <v>2026</v>
      </c>
      <c r="B202" s="32" t="s">
        <v>113</v>
      </c>
      <c r="C202" s="32" t="s">
        <v>664</v>
      </c>
      <c r="D202" s="32" t="s">
        <v>682</v>
      </c>
      <c r="E202" s="32" t="s">
        <v>685</v>
      </c>
      <c r="F202" s="32" t="s">
        <v>686</v>
      </c>
      <c r="G202" s="32" t="s">
        <v>40</v>
      </c>
      <c r="H202" s="32" t="s">
        <v>61</v>
      </c>
    </row>
    <row r="203" spans="1:8" ht="38.25" x14ac:dyDescent="0.2">
      <c r="A203" s="32">
        <v>2026</v>
      </c>
      <c r="B203" s="32" t="s">
        <v>113</v>
      </c>
      <c r="C203" s="32" t="s">
        <v>664</v>
      </c>
      <c r="D203" s="32" t="s">
        <v>687</v>
      </c>
      <c r="E203" s="32" t="s">
        <v>688</v>
      </c>
      <c r="F203" s="32" t="s">
        <v>689</v>
      </c>
      <c r="G203" s="32" t="s">
        <v>40</v>
      </c>
      <c r="H203" s="32" t="s">
        <v>61</v>
      </c>
    </row>
    <row r="204" spans="1:8" ht="89.25" x14ac:dyDescent="0.2">
      <c r="A204" s="32">
        <v>2026</v>
      </c>
      <c r="B204" s="32" t="s">
        <v>113</v>
      </c>
      <c r="C204" s="32" t="s">
        <v>664</v>
      </c>
      <c r="D204" s="32" t="s">
        <v>690</v>
      </c>
      <c r="E204" s="32" t="s">
        <v>691</v>
      </c>
      <c r="F204" s="32" t="s">
        <v>692</v>
      </c>
      <c r="G204" s="32" t="s">
        <v>40</v>
      </c>
      <c r="H204" s="32" t="s">
        <v>61</v>
      </c>
    </row>
    <row r="205" spans="1:8" ht="63.75" x14ac:dyDescent="0.2">
      <c r="A205" s="32">
        <v>2026</v>
      </c>
      <c r="B205" s="32" t="s">
        <v>113</v>
      </c>
      <c r="C205" s="32" t="s">
        <v>664</v>
      </c>
      <c r="D205" s="32" t="s">
        <v>690</v>
      </c>
      <c r="E205" s="32" t="s">
        <v>693</v>
      </c>
      <c r="F205" s="32" t="s">
        <v>694</v>
      </c>
      <c r="G205" s="32" t="s">
        <v>40</v>
      </c>
      <c r="H205" s="32" t="s">
        <v>61</v>
      </c>
    </row>
    <row r="206" spans="1:8" ht="51" x14ac:dyDescent="0.2">
      <c r="A206" s="32">
        <v>2026</v>
      </c>
      <c r="B206" s="32" t="s">
        <v>113</v>
      </c>
      <c r="C206" s="32" t="s">
        <v>664</v>
      </c>
      <c r="D206" s="32" t="s">
        <v>695</v>
      </c>
      <c r="E206" s="32" t="s">
        <v>696</v>
      </c>
      <c r="F206" s="32" t="s">
        <v>697</v>
      </c>
      <c r="G206" s="32" t="s">
        <v>40</v>
      </c>
      <c r="H206" s="32" t="s">
        <v>61</v>
      </c>
    </row>
    <row r="207" spans="1:8" ht="51" x14ac:dyDescent="0.2">
      <c r="A207" s="32">
        <v>2026</v>
      </c>
      <c r="B207" s="32" t="s">
        <v>113</v>
      </c>
      <c r="C207" s="32" t="s">
        <v>664</v>
      </c>
      <c r="D207" s="32" t="s">
        <v>695</v>
      </c>
      <c r="E207" s="32" t="s">
        <v>698</v>
      </c>
      <c r="F207" s="32" t="s">
        <v>699</v>
      </c>
      <c r="G207" s="32" t="s">
        <v>40</v>
      </c>
      <c r="H207" s="32" t="s">
        <v>61</v>
      </c>
    </row>
    <row r="208" spans="1:8" ht="51" x14ac:dyDescent="0.2">
      <c r="A208" s="32">
        <v>2026</v>
      </c>
      <c r="B208" s="32" t="s">
        <v>113</v>
      </c>
      <c r="C208" s="32" t="s">
        <v>664</v>
      </c>
      <c r="D208" s="32" t="s">
        <v>695</v>
      </c>
      <c r="E208" s="32" t="s">
        <v>700</v>
      </c>
      <c r="F208" s="32" t="s">
        <v>701</v>
      </c>
      <c r="G208" s="32" t="s">
        <v>40</v>
      </c>
      <c r="H208" s="32" t="s">
        <v>61</v>
      </c>
    </row>
    <row r="209" spans="1:8" ht="51" x14ac:dyDescent="0.2">
      <c r="A209" s="32">
        <v>2026</v>
      </c>
      <c r="B209" s="32" t="s">
        <v>113</v>
      </c>
      <c r="C209" s="32" t="s">
        <v>664</v>
      </c>
      <c r="D209" s="32" t="s">
        <v>695</v>
      </c>
      <c r="E209" s="32" t="s">
        <v>702</v>
      </c>
      <c r="F209" s="32" t="s">
        <v>703</v>
      </c>
      <c r="G209" s="32" t="s">
        <v>40</v>
      </c>
      <c r="H209" s="32" t="s">
        <v>61</v>
      </c>
    </row>
    <row r="210" spans="1:8" ht="76.5" x14ac:dyDescent="0.2">
      <c r="A210" s="32">
        <v>2026</v>
      </c>
      <c r="B210" s="32" t="s">
        <v>113</v>
      </c>
      <c r="C210" s="32" t="s">
        <v>664</v>
      </c>
      <c r="D210" s="32" t="s">
        <v>695</v>
      </c>
      <c r="E210" s="32" t="s">
        <v>704</v>
      </c>
      <c r="F210" s="32" t="s">
        <v>705</v>
      </c>
      <c r="G210" s="32" t="s">
        <v>40</v>
      </c>
      <c r="H210" s="32" t="s">
        <v>61</v>
      </c>
    </row>
    <row r="211" spans="1:8" ht="25.5" x14ac:dyDescent="0.2">
      <c r="A211" s="32">
        <v>2026</v>
      </c>
      <c r="B211" s="32" t="s">
        <v>113</v>
      </c>
      <c r="C211" s="32" t="s">
        <v>664</v>
      </c>
      <c r="D211" s="32" t="s">
        <v>706</v>
      </c>
      <c r="E211" s="32" t="s">
        <v>707</v>
      </c>
      <c r="F211" s="32" t="s">
        <v>708</v>
      </c>
      <c r="G211" s="32" t="s">
        <v>40</v>
      </c>
      <c r="H211" s="32" t="s">
        <v>61</v>
      </c>
    </row>
    <row r="212" spans="1:8" ht="38.25" x14ac:dyDescent="0.2">
      <c r="A212" s="32">
        <v>2026</v>
      </c>
      <c r="B212" s="32" t="s">
        <v>113</v>
      </c>
      <c r="C212" s="32" t="s">
        <v>664</v>
      </c>
      <c r="D212" s="32" t="s">
        <v>709</v>
      </c>
      <c r="E212" s="32" t="s">
        <v>710</v>
      </c>
      <c r="F212" s="32" t="s">
        <v>711</v>
      </c>
      <c r="G212" s="32" t="s">
        <v>40</v>
      </c>
      <c r="H212" s="32" t="s">
        <v>61</v>
      </c>
    </row>
    <row r="213" spans="1:8" ht="38.25" x14ac:dyDescent="0.2">
      <c r="A213" s="32">
        <v>2026</v>
      </c>
      <c r="B213" s="32" t="s">
        <v>113</v>
      </c>
      <c r="C213" s="32" t="s">
        <v>664</v>
      </c>
      <c r="D213" s="32" t="s">
        <v>712</v>
      </c>
      <c r="E213" s="32" t="s">
        <v>713</v>
      </c>
      <c r="F213" s="32" t="s">
        <v>714</v>
      </c>
      <c r="G213" s="32" t="s">
        <v>40</v>
      </c>
      <c r="H213" s="32" t="s">
        <v>61</v>
      </c>
    </row>
    <row r="214" spans="1:8" ht="25.5" x14ac:dyDescent="0.2">
      <c r="A214" s="32">
        <v>2026</v>
      </c>
      <c r="B214" s="32" t="s">
        <v>113</v>
      </c>
      <c r="C214" s="32" t="s">
        <v>664</v>
      </c>
      <c r="D214" s="32" t="s">
        <v>712</v>
      </c>
      <c r="E214" s="32" t="s">
        <v>715</v>
      </c>
      <c r="F214" s="32" t="s">
        <v>716</v>
      </c>
      <c r="G214" s="32" t="s">
        <v>40</v>
      </c>
      <c r="H214" s="32" t="s">
        <v>61</v>
      </c>
    </row>
    <row r="215" spans="1:8" x14ac:dyDescent="0.2">
      <c r="A215" s="32">
        <v>2026</v>
      </c>
      <c r="B215" s="32" t="s">
        <v>113</v>
      </c>
      <c r="C215" s="32" t="s">
        <v>717</v>
      </c>
      <c r="D215" s="32" t="s">
        <v>718</v>
      </c>
      <c r="E215" s="32" t="s">
        <v>719</v>
      </c>
      <c r="F215" s="32" t="s">
        <v>720</v>
      </c>
      <c r="G215" s="32" t="s">
        <v>40</v>
      </c>
      <c r="H215" s="32" t="s">
        <v>61</v>
      </c>
    </row>
    <row r="216" spans="1:8" x14ac:dyDescent="0.2">
      <c r="A216" s="32">
        <v>2026</v>
      </c>
      <c r="B216" s="32" t="s">
        <v>113</v>
      </c>
      <c r="C216" s="32" t="s">
        <v>717</v>
      </c>
      <c r="D216" s="32" t="s">
        <v>721</v>
      </c>
      <c r="E216" s="32" t="s">
        <v>722</v>
      </c>
      <c r="F216" s="32" t="s">
        <v>723</v>
      </c>
      <c r="G216" s="32" t="s">
        <v>40</v>
      </c>
      <c r="H216" s="32" t="s">
        <v>61</v>
      </c>
    </row>
    <row r="217" spans="1:8" ht="25.5" x14ac:dyDescent="0.2">
      <c r="A217" s="32">
        <v>2026</v>
      </c>
      <c r="B217" s="32" t="s">
        <v>113</v>
      </c>
      <c r="C217" s="32" t="s">
        <v>717</v>
      </c>
      <c r="D217" s="32" t="s">
        <v>724</v>
      </c>
      <c r="E217" s="32" t="s">
        <v>725</v>
      </c>
      <c r="F217" s="32" t="s">
        <v>726</v>
      </c>
      <c r="G217" s="32" t="s">
        <v>40</v>
      </c>
      <c r="H217" s="32" t="s">
        <v>61</v>
      </c>
    </row>
    <row r="218" spans="1:8" ht="38.25" x14ac:dyDescent="0.2">
      <c r="A218" s="32">
        <v>2026</v>
      </c>
      <c r="B218" s="32" t="s">
        <v>113</v>
      </c>
      <c r="C218" s="32" t="s">
        <v>727</v>
      </c>
      <c r="D218" s="32" t="s">
        <v>728</v>
      </c>
      <c r="E218" s="32" t="s">
        <v>729</v>
      </c>
      <c r="F218" s="32" t="s">
        <v>730</v>
      </c>
      <c r="G218" s="32" t="s">
        <v>40</v>
      </c>
      <c r="H218" s="32" t="s">
        <v>61</v>
      </c>
    </row>
    <row r="219" spans="1:8" ht="89.25" x14ac:dyDescent="0.2">
      <c r="A219" s="32">
        <v>2026</v>
      </c>
      <c r="B219" s="32" t="s">
        <v>113</v>
      </c>
      <c r="C219" s="32" t="s">
        <v>727</v>
      </c>
      <c r="D219" s="32" t="s">
        <v>731</v>
      </c>
      <c r="E219" s="32" t="s">
        <v>732</v>
      </c>
      <c r="F219" s="32" t="s">
        <v>733</v>
      </c>
      <c r="G219" s="32" t="s">
        <v>40</v>
      </c>
      <c r="H219" s="32" t="s">
        <v>61</v>
      </c>
    </row>
    <row r="220" spans="1:8" ht="63.75" x14ac:dyDescent="0.2">
      <c r="A220" s="32">
        <v>2026</v>
      </c>
      <c r="B220" s="32" t="s">
        <v>113</v>
      </c>
      <c r="C220" s="32" t="s">
        <v>727</v>
      </c>
      <c r="D220" s="32" t="s">
        <v>734</v>
      </c>
      <c r="E220" s="32" t="s">
        <v>735</v>
      </c>
      <c r="F220" s="32" t="s">
        <v>736</v>
      </c>
      <c r="G220" s="32" t="s">
        <v>40</v>
      </c>
      <c r="H220" s="32" t="s">
        <v>61</v>
      </c>
    </row>
    <row r="221" spans="1:8" ht="38.25" x14ac:dyDescent="0.2">
      <c r="A221" s="32">
        <v>2026</v>
      </c>
      <c r="B221" s="32" t="s">
        <v>113</v>
      </c>
      <c r="C221" s="32" t="s">
        <v>727</v>
      </c>
      <c r="D221" s="32" t="s">
        <v>737</v>
      </c>
      <c r="E221" s="32" t="s">
        <v>738</v>
      </c>
      <c r="F221" s="32" t="s">
        <v>739</v>
      </c>
      <c r="G221" s="32" t="s">
        <v>40</v>
      </c>
      <c r="H221" s="32" t="s">
        <v>61</v>
      </c>
    </row>
    <row r="222" spans="1:8" ht="38.25" x14ac:dyDescent="0.2">
      <c r="A222" s="32">
        <v>2026</v>
      </c>
      <c r="B222" s="32" t="s">
        <v>113</v>
      </c>
      <c r="C222" s="32" t="s">
        <v>740</v>
      </c>
      <c r="D222" s="32" t="s">
        <v>741</v>
      </c>
      <c r="E222" s="32" t="s">
        <v>742</v>
      </c>
      <c r="F222" s="32" t="s">
        <v>743</v>
      </c>
      <c r="G222" s="32" t="s">
        <v>40</v>
      </c>
      <c r="H222" s="32" t="s">
        <v>61</v>
      </c>
    </row>
    <row r="223" spans="1:8" ht="51" x14ac:dyDescent="0.2">
      <c r="A223" s="32">
        <v>2026</v>
      </c>
      <c r="B223" s="32" t="s">
        <v>113</v>
      </c>
      <c r="C223" s="32" t="s">
        <v>744</v>
      </c>
      <c r="D223" s="32" t="s">
        <v>745</v>
      </c>
      <c r="E223" s="32" t="s">
        <v>746</v>
      </c>
      <c r="F223" s="32" t="s">
        <v>747</v>
      </c>
      <c r="G223" s="32" t="s">
        <v>40</v>
      </c>
      <c r="H223" s="32" t="s">
        <v>61</v>
      </c>
    </row>
    <row r="224" spans="1:8" ht="51" x14ac:dyDescent="0.2">
      <c r="A224" s="32">
        <v>2026</v>
      </c>
      <c r="B224" s="32" t="s">
        <v>113</v>
      </c>
      <c r="C224" s="32" t="s">
        <v>744</v>
      </c>
      <c r="D224" s="32" t="s">
        <v>745</v>
      </c>
      <c r="E224" s="32" t="s">
        <v>748</v>
      </c>
      <c r="F224" s="32" t="s">
        <v>749</v>
      </c>
      <c r="G224" s="32" t="s">
        <v>40</v>
      </c>
      <c r="H224" s="32" t="s">
        <v>61</v>
      </c>
    </row>
    <row r="225" spans="1:8" ht="51" x14ac:dyDescent="0.2">
      <c r="A225" s="32">
        <v>2026</v>
      </c>
      <c r="B225" s="32" t="s">
        <v>113</v>
      </c>
      <c r="C225" s="32" t="s">
        <v>744</v>
      </c>
      <c r="D225" s="32" t="s">
        <v>745</v>
      </c>
      <c r="E225" s="32" t="s">
        <v>750</v>
      </c>
      <c r="F225" s="32" t="s">
        <v>751</v>
      </c>
      <c r="G225" s="32" t="s">
        <v>40</v>
      </c>
      <c r="H225" s="32" t="s">
        <v>61</v>
      </c>
    </row>
    <row r="226" spans="1:8" ht="51" x14ac:dyDescent="0.2">
      <c r="A226" s="32">
        <v>2026</v>
      </c>
      <c r="B226" s="32" t="s">
        <v>113</v>
      </c>
      <c r="C226" s="32" t="s">
        <v>744</v>
      </c>
      <c r="D226" s="32" t="s">
        <v>745</v>
      </c>
      <c r="E226" s="32" t="s">
        <v>752</v>
      </c>
      <c r="F226" s="32" t="s">
        <v>753</v>
      </c>
      <c r="G226" s="32" t="s">
        <v>40</v>
      </c>
      <c r="H226" s="32" t="s">
        <v>61</v>
      </c>
    </row>
    <row r="227" spans="1:8" ht="76.5" x14ac:dyDescent="0.2">
      <c r="A227" s="32">
        <v>2026</v>
      </c>
      <c r="B227" s="32" t="s">
        <v>113</v>
      </c>
      <c r="C227" s="32" t="s">
        <v>744</v>
      </c>
      <c r="D227" s="32" t="s">
        <v>745</v>
      </c>
      <c r="E227" s="32" t="s">
        <v>754</v>
      </c>
      <c r="F227" s="32" t="s">
        <v>755</v>
      </c>
      <c r="G227" s="32" t="s">
        <v>40</v>
      </c>
      <c r="H227" s="32" t="s">
        <v>61</v>
      </c>
    </row>
    <row r="228" spans="1:8" ht="51" x14ac:dyDescent="0.2">
      <c r="A228" s="32">
        <v>2026</v>
      </c>
      <c r="B228" s="32" t="s">
        <v>113</v>
      </c>
      <c r="C228" s="32" t="s">
        <v>744</v>
      </c>
      <c r="D228" s="32" t="s">
        <v>756</v>
      </c>
      <c r="E228" s="32" t="s">
        <v>757</v>
      </c>
      <c r="F228" s="32" t="s">
        <v>758</v>
      </c>
      <c r="G228" s="32" t="s">
        <v>40</v>
      </c>
      <c r="H228" s="32" t="s">
        <v>61</v>
      </c>
    </row>
    <row r="229" spans="1:8" ht="25.5" x14ac:dyDescent="0.2">
      <c r="A229" s="32">
        <v>2026</v>
      </c>
      <c r="B229" s="32" t="s">
        <v>113</v>
      </c>
      <c r="C229" s="32" t="s">
        <v>744</v>
      </c>
      <c r="D229" s="32" t="s">
        <v>759</v>
      </c>
      <c r="E229" s="32" t="s">
        <v>760</v>
      </c>
      <c r="F229" s="32" t="s">
        <v>761</v>
      </c>
      <c r="G229" s="32" t="s">
        <v>40</v>
      </c>
      <c r="H229" s="32" t="s">
        <v>61</v>
      </c>
    </row>
    <row r="230" spans="1:8" ht="38.25" x14ac:dyDescent="0.2">
      <c r="A230" s="32">
        <v>2026</v>
      </c>
      <c r="B230" s="32" t="s">
        <v>115</v>
      </c>
      <c r="C230" s="32" t="s">
        <v>762</v>
      </c>
      <c r="D230" s="32" t="s">
        <v>763</v>
      </c>
      <c r="E230" s="32" t="s">
        <v>764</v>
      </c>
      <c r="F230" s="32" t="s">
        <v>765</v>
      </c>
      <c r="G230" s="32" t="s">
        <v>40</v>
      </c>
      <c r="H230" s="32" t="s">
        <v>61</v>
      </c>
    </row>
    <row r="231" spans="1:8" ht="38.25" x14ac:dyDescent="0.2">
      <c r="A231" s="32">
        <v>2026</v>
      </c>
      <c r="B231" s="32" t="s">
        <v>115</v>
      </c>
      <c r="C231" s="32" t="s">
        <v>762</v>
      </c>
      <c r="D231" s="32" t="s">
        <v>766</v>
      </c>
      <c r="E231" s="32" t="s">
        <v>767</v>
      </c>
      <c r="F231" s="32" t="s">
        <v>768</v>
      </c>
      <c r="G231" s="32" t="s">
        <v>40</v>
      </c>
      <c r="H231" s="32" t="s">
        <v>61</v>
      </c>
    </row>
    <row r="232" spans="1:8" ht="38.25" x14ac:dyDescent="0.2">
      <c r="A232" s="32">
        <v>2026</v>
      </c>
      <c r="B232" s="32" t="s">
        <v>115</v>
      </c>
      <c r="C232" s="32" t="s">
        <v>762</v>
      </c>
      <c r="D232" s="32" t="s">
        <v>769</v>
      </c>
      <c r="E232" s="32" t="s">
        <v>770</v>
      </c>
      <c r="F232" s="32" t="s">
        <v>771</v>
      </c>
      <c r="G232" s="32" t="s">
        <v>40</v>
      </c>
      <c r="H232" s="32" t="s">
        <v>61</v>
      </c>
    </row>
    <row r="233" spans="1:8" x14ac:dyDescent="0.2">
      <c r="A233" s="32">
        <v>2026</v>
      </c>
      <c r="B233" s="32" t="s">
        <v>115</v>
      </c>
      <c r="C233" s="32" t="s">
        <v>762</v>
      </c>
      <c r="D233" s="32" t="s">
        <v>772</v>
      </c>
      <c r="E233" s="32" t="s">
        <v>773</v>
      </c>
      <c r="F233" s="32" t="s">
        <v>774</v>
      </c>
      <c r="G233" s="32" t="s">
        <v>40</v>
      </c>
      <c r="H233" s="32" t="s">
        <v>61</v>
      </c>
    </row>
    <row r="234" spans="1:8" ht="51" x14ac:dyDescent="0.2">
      <c r="A234" s="32">
        <v>2026</v>
      </c>
      <c r="B234" s="32" t="s">
        <v>115</v>
      </c>
      <c r="C234" s="32" t="s">
        <v>762</v>
      </c>
      <c r="D234" s="32" t="s">
        <v>775</v>
      </c>
      <c r="E234" s="32" t="s">
        <v>776</v>
      </c>
      <c r="F234" s="32" t="s">
        <v>777</v>
      </c>
      <c r="G234" s="32" t="s">
        <v>40</v>
      </c>
      <c r="H234" s="32" t="s">
        <v>61</v>
      </c>
    </row>
    <row r="235" spans="1:8" ht="38.25" x14ac:dyDescent="0.2">
      <c r="A235" s="32">
        <v>2026</v>
      </c>
      <c r="B235" s="32" t="s">
        <v>115</v>
      </c>
      <c r="C235" s="32" t="s">
        <v>762</v>
      </c>
      <c r="D235" s="32" t="s">
        <v>778</v>
      </c>
      <c r="E235" s="32" t="s">
        <v>779</v>
      </c>
      <c r="F235" s="32" t="s">
        <v>780</v>
      </c>
      <c r="G235" s="32" t="s">
        <v>40</v>
      </c>
      <c r="H235" s="32" t="s">
        <v>61</v>
      </c>
    </row>
    <row r="236" spans="1:8" ht="63.75" x14ac:dyDescent="0.2">
      <c r="A236" s="32">
        <v>2026</v>
      </c>
      <c r="B236" s="32" t="s">
        <v>115</v>
      </c>
      <c r="C236" s="32" t="s">
        <v>762</v>
      </c>
      <c r="D236" s="32" t="s">
        <v>778</v>
      </c>
      <c r="E236" s="32" t="s">
        <v>781</v>
      </c>
      <c r="F236" s="32" t="s">
        <v>782</v>
      </c>
      <c r="G236" s="32" t="s">
        <v>40</v>
      </c>
      <c r="H236" s="32" t="s">
        <v>61</v>
      </c>
    </row>
    <row r="237" spans="1:8" ht="38.25" x14ac:dyDescent="0.2">
      <c r="A237" s="32">
        <v>2026</v>
      </c>
      <c r="B237" s="32" t="s">
        <v>115</v>
      </c>
      <c r="C237" s="32" t="s">
        <v>783</v>
      </c>
      <c r="D237" s="32" t="s">
        <v>784</v>
      </c>
      <c r="E237" s="32" t="s">
        <v>785</v>
      </c>
      <c r="F237" s="32" t="s">
        <v>786</v>
      </c>
      <c r="G237" s="32" t="s">
        <v>40</v>
      </c>
      <c r="H237" s="32" t="s">
        <v>61</v>
      </c>
    </row>
    <row r="238" spans="1:8" ht="25.5" x14ac:dyDescent="0.2">
      <c r="A238" s="32">
        <v>2026</v>
      </c>
      <c r="B238" s="32" t="s">
        <v>115</v>
      </c>
      <c r="C238" s="32" t="s">
        <v>783</v>
      </c>
      <c r="D238" s="32" t="s">
        <v>787</v>
      </c>
      <c r="E238" s="32" t="s">
        <v>788</v>
      </c>
      <c r="F238" s="32" t="s">
        <v>789</v>
      </c>
      <c r="G238" s="32" t="s">
        <v>40</v>
      </c>
      <c r="H238" s="32" t="s">
        <v>61</v>
      </c>
    </row>
    <row r="239" spans="1:8" ht="38.25" x14ac:dyDescent="0.2">
      <c r="A239" s="32">
        <v>2026</v>
      </c>
      <c r="B239" s="32" t="s">
        <v>115</v>
      </c>
      <c r="C239" s="32" t="s">
        <v>783</v>
      </c>
      <c r="D239" s="32" t="s">
        <v>790</v>
      </c>
      <c r="E239" s="32" t="s">
        <v>791</v>
      </c>
      <c r="F239" s="32" t="s">
        <v>792</v>
      </c>
      <c r="G239" s="32" t="s">
        <v>40</v>
      </c>
      <c r="H239" s="32" t="s">
        <v>61</v>
      </c>
    </row>
    <row r="240" spans="1:8" ht="51" x14ac:dyDescent="0.2">
      <c r="A240" s="32">
        <v>2026</v>
      </c>
      <c r="B240" s="32" t="s">
        <v>115</v>
      </c>
      <c r="C240" s="32" t="s">
        <v>783</v>
      </c>
      <c r="D240" s="32" t="s">
        <v>793</v>
      </c>
      <c r="E240" s="32" t="s">
        <v>794</v>
      </c>
      <c r="F240" s="32" t="s">
        <v>795</v>
      </c>
      <c r="G240" s="32" t="s">
        <v>40</v>
      </c>
      <c r="H240" s="32" t="s">
        <v>61</v>
      </c>
    </row>
    <row r="241" spans="1:8" ht="25.5" x14ac:dyDescent="0.2">
      <c r="A241" s="32">
        <v>2026</v>
      </c>
      <c r="B241" s="32" t="s">
        <v>115</v>
      </c>
      <c r="C241" s="32" t="s">
        <v>796</v>
      </c>
      <c r="D241" s="32" t="s">
        <v>797</v>
      </c>
      <c r="E241" s="32" t="s">
        <v>798</v>
      </c>
      <c r="F241" s="32" t="s">
        <v>799</v>
      </c>
      <c r="G241" s="32" t="s">
        <v>40</v>
      </c>
      <c r="H241" s="32" t="s">
        <v>61</v>
      </c>
    </row>
    <row r="242" spans="1:8" ht="38.25" x14ac:dyDescent="0.2">
      <c r="A242" s="32">
        <v>2026</v>
      </c>
      <c r="B242" s="32" t="s">
        <v>115</v>
      </c>
      <c r="C242" s="32" t="s">
        <v>796</v>
      </c>
      <c r="D242" s="32" t="s">
        <v>800</v>
      </c>
      <c r="E242" s="32" t="s">
        <v>801</v>
      </c>
      <c r="F242" s="32" t="s">
        <v>802</v>
      </c>
      <c r="G242" s="32" t="s">
        <v>40</v>
      </c>
      <c r="H242" s="32" t="s">
        <v>61</v>
      </c>
    </row>
    <row r="243" spans="1:8" ht="114.75" x14ac:dyDescent="0.2">
      <c r="A243" s="32">
        <v>2026</v>
      </c>
      <c r="B243" s="32" t="s">
        <v>115</v>
      </c>
      <c r="C243" s="32" t="s">
        <v>803</v>
      </c>
      <c r="D243" s="32" t="s">
        <v>804</v>
      </c>
      <c r="E243" s="32" t="s">
        <v>805</v>
      </c>
      <c r="F243" s="32" t="s">
        <v>806</v>
      </c>
      <c r="G243" s="32" t="s">
        <v>40</v>
      </c>
      <c r="H243" s="32" t="s">
        <v>61</v>
      </c>
    </row>
    <row r="244" spans="1:8" ht="76.5" x14ac:dyDescent="0.2">
      <c r="A244" s="32">
        <v>2026</v>
      </c>
      <c r="B244" s="32" t="s">
        <v>115</v>
      </c>
      <c r="C244" s="32" t="s">
        <v>803</v>
      </c>
      <c r="D244" s="32" t="s">
        <v>804</v>
      </c>
      <c r="E244" s="32" t="s">
        <v>807</v>
      </c>
      <c r="F244" s="32" t="s">
        <v>808</v>
      </c>
      <c r="G244" s="32" t="s">
        <v>40</v>
      </c>
      <c r="H244" s="32" t="s">
        <v>61</v>
      </c>
    </row>
    <row r="245" spans="1:8" ht="89.25" x14ac:dyDescent="0.2">
      <c r="A245" s="32">
        <v>2026</v>
      </c>
      <c r="B245" s="32" t="s">
        <v>115</v>
      </c>
      <c r="C245" s="32" t="s">
        <v>803</v>
      </c>
      <c r="D245" s="32" t="s">
        <v>804</v>
      </c>
      <c r="E245" s="32" t="s">
        <v>809</v>
      </c>
      <c r="F245" s="32" t="s">
        <v>810</v>
      </c>
      <c r="G245" s="32" t="s">
        <v>40</v>
      </c>
      <c r="H245" s="32" t="s">
        <v>61</v>
      </c>
    </row>
    <row r="246" spans="1:8" ht="76.5" x14ac:dyDescent="0.2">
      <c r="A246" s="32">
        <v>2026</v>
      </c>
      <c r="B246" s="32" t="s">
        <v>115</v>
      </c>
      <c r="C246" s="32" t="s">
        <v>803</v>
      </c>
      <c r="D246" s="32" t="s">
        <v>804</v>
      </c>
      <c r="E246" s="32" t="s">
        <v>811</v>
      </c>
      <c r="F246" s="32" t="s">
        <v>812</v>
      </c>
      <c r="G246" s="32" t="s">
        <v>40</v>
      </c>
      <c r="H246" s="32" t="s">
        <v>61</v>
      </c>
    </row>
    <row r="247" spans="1:8" ht="51" x14ac:dyDescent="0.2">
      <c r="A247" s="32">
        <v>2026</v>
      </c>
      <c r="B247" s="32" t="s">
        <v>115</v>
      </c>
      <c r="C247" s="32" t="s">
        <v>803</v>
      </c>
      <c r="D247" s="32" t="s">
        <v>813</v>
      </c>
      <c r="E247" s="32" t="s">
        <v>814</v>
      </c>
      <c r="F247" s="32" t="s">
        <v>815</v>
      </c>
      <c r="G247" s="32" t="s">
        <v>40</v>
      </c>
      <c r="H247" s="32" t="s">
        <v>61</v>
      </c>
    </row>
    <row r="248" spans="1:8" ht="102" x14ac:dyDescent="0.2">
      <c r="A248" s="32">
        <v>2026</v>
      </c>
      <c r="B248" s="32" t="s">
        <v>115</v>
      </c>
      <c r="C248" s="32" t="s">
        <v>803</v>
      </c>
      <c r="D248" s="32" t="s">
        <v>816</v>
      </c>
      <c r="E248" s="32" t="s">
        <v>817</v>
      </c>
      <c r="F248" s="32" t="s">
        <v>818</v>
      </c>
      <c r="G248" s="32" t="s">
        <v>40</v>
      </c>
      <c r="H248" s="32" t="s">
        <v>61</v>
      </c>
    </row>
    <row r="249" spans="1:8" ht="76.5" x14ac:dyDescent="0.2">
      <c r="A249" s="32">
        <v>2026</v>
      </c>
      <c r="B249" s="32" t="s">
        <v>115</v>
      </c>
      <c r="C249" s="32" t="s">
        <v>803</v>
      </c>
      <c r="D249" s="32" t="s">
        <v>816</v>
      </c>
      <c r="E249" s="32" t="s">
        <v>819</v>
      </c>
      <c r="F249" s="32" t="s">
        <v>820</v>
      </c>
      <c r="G249" s="32" t="s">
        <v>40</v>
      </c>
      <c r="H249" s="32" t="s">
        <v>61</v>
      </c>
    </row>
    <row r="250" spans="1:8" ht="25.5" x14ac:dyDescent="0.2">
      <c r="A250" s="32">
        <v>2026</v>
      </c>
      <c r="B250" s="32" t="s">
        <v>115</v>
      </c>
      <c r="C250" s="32" t="s">
        <v>803</v>
      </c>
      <c r="D250" s="32" t="s">
        <v>821</v>
      </c>
      <c r="E250" s="32" t="s">
        <v>822</v>
      </c>
      <c r="F250" s="32" t="s">
        <v>823</v>
      </c>
      <c r="G250" s="32" t="s">
        <v>40</v>
      </c>
      <c r="H250" s="32" t="s">
        <v>61</v>
      </c>
    </row>
    <row r="251" spans="1:8" ht="89.25" x14ac:dyDescent="0.2">
      <c r="A251" s="32">
        <v>2026</v>
      </c>
      <c r="B251" s="32" t="s">
        <v>115</v>
      </c>
      <c r="C251" s="32" t="s">
        <v>803</v>
      </c>
      <c r="D251" s="32" t="s">
        <v>824</v>
      </c>
      <c r="E251" s="32" t="s">
        <v>825</v>
      </c>
      <c r="F251" s="32" t="s">
        <v>826</v>
      </c>
      <c r="G251" s="32" t="s">
        <v>40</v>
      </c>
      <c r="H251" s="32" t="s">
        <v>61</v>
      </c>
    </row>
    <row r="252" spans="1:8" ht="25.5" x14ac:dyDescent="0.2">
      <c r="A252" s="32">
        <v>2026</v>
      </c>
      <c r="B252" s="32" t="s">
        <v>115</v>
      </c>
      <c r="C252" s="32" t="s">
        <v>803</v>
      </c>
      <c r="D252" s="32" t="s">
        <v>824</v>
      </c>
      <c r="E252" s="32" t="s">
        <v>827</v>
      </c>
      <c r="F252" s="32" t="s">
        <v>828</v>
      </c>
      <c r="G252" s="32" t="s">
        <v>40</v>
      </c>
      <c r="H252" s="32" t="s">
        <v>61</v>
      </c>
    </row>
    <row r="253" spans="1:8" ht="25.5" x14ac:dyDescent="0.2">
      <c r="A253" s="32">
        <v>2026</v>
      </c>
      <c r="B253" s="32" t="s">
        <v>115</v>
      </c>
      <c r="C253" s="32" t="s">
        <v>803</v>
      </c>
      <c r="D253" s="32" t="s">
        <v>829</v>
      </c>
      <c r="E253" s="32" t="s">
        <v>830</v>
      </c>
      <c r="F253" s="32" t="s">
        <v>831</v>
      </c>
      <c r="G253" s="32" t="s">
        <v>40</v>
      </c>
      <c r="H253" s="32" t="s">
        <v>61</v>
      </c>
    </row>
    <row r="254" spans="1:8" ht="38.25" x14ac:dyDescent="0.2">
      <c r="A254" s="32">
        <v>2026</v>
      </c>
      <c r="B254" s="32" t="s">
        <v>115</v>
      </c>
      <c r="C254" s="32" t="s">
        <v>832</v>
      </c>
      <c r="D254" s="32" t="s">
        <v>833</v>
      </c>
      <c r="E254" s="32" t="s">
        <v>834</v>
      </c>
      <c r="F254" s="32" t="s">
        <v>835</v>
      </c>
      <c r="G254" s="32" t="s">
        <v>40</v>
      </c>
      <c r="H254" s="32" t="s">
        <v>61</v>
      </c>
    </row>
    <row r="255" spans="1:8" ht="38.25" x14ac:dyDescent="0.2">
      <c r="A255" s="32">
        <v>2026</v>
      </c>
      <c r="B255" s="32" t="s">
        <v>115</v>
      </c>
      <c r="C255" s="32" t="s">
        <v>836</v>
      </c>
      <c r="D255" s="32" t="s">
        <v>837</v>
      </c>
      <c r="E255" s="32" t="s">
        <v>838</v>
      </c>
      <c r="F255" s="32" t="s">
        <v>839</v>
      </c>
      <c r="G255" s="32" t="s">
        <v>40</v>
      </c>
      <c r="H255" s="32" t="s">
        <v>61</v>
      </c>
    </row>
    <row r="256" spans="1:8" ht="25.5" x14ac:dyDescent="0.2">
      <c r="A256" s="32">
        <v>2026</v>
      </c>
      <c r="B256" s="32" t="s">
        <v>115</v>
      </c>
      <c r="C256" s="32" t="s">
        <v>836</v>
      </c>
      <c r="D256" s="32" t="s">
        <v>840</v>
      </c>
      <c r="E256" s="32" t="s">
        <v>841</v>
      </c>
      <c r="F256" s="32" t="s">
        <v>842</v>
      </c>
      <c r="G256" s="32" t="s">
        <v>40</v>
      </c>
      <c r="H256" s="32" t="s">
        <v>61</v>
      </c>
    </row>
    <row r="257" spans="1:8" ht="38.25" x14ac:dyDescent="0.2">
      <c r="A257" s="32">
        <v>2026</v>
      </c>
      <c r="B257" s="32" t="s">
        <v>115</v>
      </c>
      <c r="C257" s="32" t="s">
        <v>836</v>
      </c>
      <c r="D257" s="32" t="s">
        <v>843</v>
      </c>
      <c r="E257" s="32" t="s">
        <v>844</v>
      </c>
      <c r="F257" s="32" t="s">
        <v>845</v>
      </c>
      <c r="G257" s="32" t="s">
        <v>40</v>
      </c>
      <c r="H257" s="32" t="s">
        <v>61</v>
      </c>
    </row>
    <row r="258" spans="1:8" ht="76.5" x14ac:dyDescent="0.2">
      <c r="A258" s="32">
        <v>2026</v>
      </c>
      <c r="B258" s="32" t="s">
        <v>115</v>
      </c>
      <c r="C258" s="32" t="s">
        <v>836</v>
      </c>
      <c r="D258" s="32" t="s">
        <v>846</v>
      </c>
      <c r="E258" s="32" t="s">
        <v>847</v>
      </c>
      <c r="F258" s="32" t="s">
        <v>848</v>
      </c>
      <c r="G258" s="32" t="s">
        <v>40</v>
      </c>
      <c r="H258" s="32" t="s">
        <v>61</v>
      </c>
    </row>
    <row r="259" spans="1:8" ht="38.25" x14ac:dyDescent="0.2">
      <c r="A259" s="32">
        <v>2026</v>
      </c>
      <c r="B259" s="32" t="s">
        <v>115</v>
      </c>
      <c r="C259" s="32" t="s">
        <v>836</v>
      </c>
      <c r="D259" s="32" t="s">
        <v>849</v>
      </c>
      <c r="E259" s="32" t="s">
        <v>850</v>
      </c>
      <c r="F259" s="32" t="s">
        <v>851</v>
      </c>
      <c r="G259" s="32" t="s">
        <v>40</v>
      </c>
      <c r="H259" s="32" t="s">
        <v>61</v>
      </c>
    </row>
    <row r="260" spans="1:8" ht="76.5" x14ac:dyDescent="0.2">
      <c r="A260" s="32">
        <v>2026</v>
      </c>
      <c r="B260" s="32" t="s">
        <v>115</v>
      </c>
      <c r="C260" s="32" t="s">
        <v>836</v>
      </c>
      <c r="D260" s="32" t="s">
        <v>852</v>
      </c>
      <c r="E260" s="32" t="s">
        <v>853</v>
      </c>
      <c r="F260" s="32" t="s">
        <v>854</v>
      </c>
      <c r="G260" s="32" t="s">
        <v>40</v>
      </c>
      <c r="H260" s="32" t="s">
        <v>61</v>
      </c>
    </row>
    <row r="261" spans="1:8" ht="38.25" x14ac:dyDescent="0.2">
      <c r="A261" s="32">
        <v>2026</v>
      </c>
      <c r="B261" s="32" t="s">
        <v>115</v>
      </c>
      <c r="C261" s="32" t="s">
        <v>836</v>
      </c>
      <c r="D261" s="32" t="s">
        <v>855</v>
      </c>
      <c r="E261" s="32" t="s">
        <v>856</v>
      </c>
      <c r="F261" s="32" t="s">
        <v>857</v>
      </c>
      <c r="G261" s="32" t="s">
        <v>40</v>
      </c>
      <c r="H261" s="32" t="s">
        <v>61</v>
      </c>
    </row>
    <row r="262" spans="1:8" ht="38.25" x14ac:dyDescent="0.2">
      <c r="A262" s="32">
        <v>2026</v>
      </c>
      <c r="B262" s="32" t="s">
        <v>115</v>
      </c>
      <c r="C262" s="32" t="s">
        <v>836</v>
      </c>
      <c r="D262" s="32" t="s">
        <v>855</v>
      </c>
      <c r="E262" s="32" t="s">
        <v>858</v>
      </c>
      <c r="F262" s="32" t="s">
        <v>859</v>
      </c>
      <c r="G262" s="32" t="s">
        <v>40</v>
      </c>
      <c r="H262" s="32" t="s">
        <v>61</v>
      </c>
    </row>
    <row r="263" spans="1:8" ht="25.5" x14ac:dyDescent="0.2">
      <c r="A263" s="32">
        <v>2026</v>
      </c>
      <c r="B263" s="32" t="s">
        <v>115</v>
      </c>
      <c r="C263" s="32" t="s">
        <v>836</v>
      </c>
      <c r="D263" s="32" t="s">
        <v>860</v>
      </c>
      <c r="E263" s="32" t="s">
        <v>861</v>
      </c>
      <c r="F263" s="32" t="s">
        <v>862</v>
      </c>
      <c r="G263" s="32" t="s">
        <v>40</v>
      </c>
      <c r="H263" s="32" t="s">
        <v>61</v>
      </c>
    </row>
    <row r="264" spans="1:8" ht="38.25" x14ac:dyDescent="0.2">
      <c r="A264" s="32">
        <v>2026</v>
      </c>
      <c r="B264" s="32" t="s">
        <v>115</v>
      </c>
      <c r="C264" s="32" t="s">
        <v>836</v>
      </c>
      <c r="D264" s="32" t="s">
        <v>860</v>
      </c>
      <c r="E264" s="32" t="s">
        <v>863</v>
      </c>
      <c r="F264" s="32" t="s">
        <v>864</v>
      </c>
      <c r="G264" s="32" t="s">
        <v>40</v>
      </c>
      <c r="H264" s="32" t="s">
        <v>61</v>
      </c>
    </row>
    <row r="265" spans="1:8" ht="51" x14ac:dyDescent="0.2">
      <c r="A265" s="32">
        <v>2026</v>
      </c>
      <c r="B265" s="32" t="s">
        <v>115</v>
      </c>
      <c r="C265" s="32" t="s">
        <v>836</v>
      </c>
      <c r="D265" s="32" t="s">
        <v>860</v>
      </c>
      <c r="E265" s="32" t="s">
        <v>865</v>
      </c>
      <c r="F265" s="32" t="s">
        <v>866</v>
      </c>
      <c r="G265" s="32" t="s">
        <v>40</v>
      </c>
      <c r="H265" s="32" t="s">
        <v>61</v>
      </c>
    </row>
    <row r="266" spans="1:8" ht="89.25" x14ac:dyDescent="0.2">
      <c r="A266" s="32">
        <v>2026</v>
      </c>
      <c r="B266" s="32" t="s">
        <v>115</v>
      </c>
      <c r="C266" s="32" t="s">
        <v>836</v>
      </c>
      <c r="D266" s="32" t="s">
        <v>860</v>
      </c>
      <c r="E266" s="32" t="s">
        <v>867</v>
      </c>
      <c r="F266" s="32" t="s">
        <v>868</v>
      </c>
      <c r="G266" s="32" t="s">
        <v>40</v>
      </c>
      <c r="H266" s="32" t="s">
        <v>61</v>
      </c>
    </row>
    <row r="267" spans="1:8" ht="25.5" x14ac:dyDescent="0.2">
      <c r="A267" s="32">
        <v>2026</v>
      </c>
      <c r="B267" s="32" t="s">
        <v>115</v>
      </c>
      <c r="C267" s="32" t="s">
        <v>836</v>
      </c>
      <c r="D267" s="32" t="s">
        <v>860</v>
      </c>
      <c r="E267" s="32" t="s">
        <v>869</v>
      </c>
      <c r="F267" s="32" t="s">
        <v>870</v>
      </c>
      <c r="G267" s="32" t="s">
        <v>40</v>
      </c>
      <c r="H267" s="32" t="s">
        <v>61</v>
      </c>
    </row>
    <row r="268" spans="1:8" x14ac:dyDescent="0.2">
      <c r="A268" s="32">
        <v>2026</v>
      </c>
      <c r="B268" s="32" t="s">
        <v>115</v>
      </c>
      <c r="C268" s="32" t="s">
        <v>871</v>
      </c>
      <c r="D268" s="32" t="s">
        <v>872</v>
      </c>
      <c r="E268" s="32" t="s">
        <v>873</v>
      </c>
      <c r="F268" s="32" t="s">
        <v>874</v>
      </c>
      <c r="G268" s="32" t="s">
        <v>40</v>
      </c>
      <c r="H268" s="32" t="s">
        <v>61</v>
      </c>
    </row>
    <row r="269" spans="1:8" x14ac:dyDescent="0.2">
      <c r="A269" s="32">
        <v>2026</v>
      </c>
      <c r="B269" s="32" t="s">
        <v>115</v>
      </c>
      <c r="C269" s="32" t="s">
        <v>871</v>
      </c>
      <c r="D269" s="32" t="s">
        <v>875</v>
      </c>
      <c r="E269" s="32" t="s">
        <v>876</v>
      </c>
      <c r="F269" s="32" t="s">
        <v>877</v>
      </c>
      <c r="G269" s="32" t="s">
        <v>40</v>
      </c>
      <c r="H269" s="32" t="s">
        <v>61</v>
      </c>
    </row>
    <row r="270" spans="1:8" x14ac:dyDescent="0.2">
      <c r="A270" s="32">
        <v>2026</v>
      </c>
      <c r="B270" s="32" t="s">
        <v>115</v>
      </c>
      <c r="C270" s="32" t="s">
        <v>871</v>
      </c>
      <c r="D270" s="32" t="s">
        <v>878</v>
      </c>
      <c r="E270" s="32" t="s">
        <v>879</v>
      </c>
      <c r="F270" s="32" t="s">
        <v>880</v>
      </c>
      <c r="G270" s="32" t="s">
        <v>40</v>
      </c>
      <c r="H270" s="32" t="s">
        <v>61</v>
      </c>
    </row>
    <row r="271" spans="1:8" x14ac:dyDescent="0.2">
      <c r="A271" s="32">
        <v>2026</v>
      </c>
      <c r="B271" s="32" t="s">
        <v>115</v>
      </c>
      <c r="C271" s="32" t="s">
        <v>871</v>
      </c>
      <c r="D271" s="32" t="s">
        <v>881</v>
      </c>
      <c r="E271" s="32" t="s">
        <v>882</v>
      </c>
      <c r="F271" s="32" t="s">
        <v>883</v>
      </c>
      <c r="G271" s="32" t="s">
        <v>40</v>
      </c>
      <c r="H271" s="32" t="s">
        <v>61</v>
      </c>
    </row>
    <row r="272" spans="1:8" ht="25.5" x14ac:dyDescent="0.2">
      <c r="A272" s="32">
        <v>2026</v>
      </c>
      <c r="B272" s="32" t="s">
        <v>115</v>
      </c>
      <c r="C272" s="32" t="s">
        <v>871</v>
      </c>
      <c r="D272" s="32" t="s">
        <v>884</v>
      </c>
      <c r="E272" s="32" t="s">
        <v>885</v>
      </c>
      <c r="F272" s="32" t="s">
        <v>886</v>
      </c>
      <c r="G272" s="32" t="s">
        <v>40</v>
      </c>
      <c r="H272" s="32" t="s">
        <v>61</v>
      </c>
    </row>
    <row r="273" spans="1:8" x14ac:dyDescent="0.2">
      <c r="A273" s="32">
        <v>2026</v>
      </c>
      <c r="B273" s="32" t="s">
        <v>115</v>
      </c>
      <c r="C273" s="32" t="s">
        <v>871</v>
      </c>
      <c r="D273" s="32" t="s">
        <v>887</v>
      </c>
      <c r="E273" s="32" t="s">
        <v>888</v>
      </c>
      <c r="F273" s="32" t="s">
        <v>889</v>
      </c>
      <c r="G273" s="32" t="s">
        <v>40</v>
      </c>
      <c r="H273" s="32" t="s">
        <v>61</v>
      </c>
    </row>
    <row r="274" spans="1:8" ht="38.25" x14ac:dyDescent="0.2">
      <c r="A274" s="32">
        <v>2026</v>
      </c>
      <c r="B274" s="32" t="s">
        <v>115</v>
      </c>
      <c r="C274" s="32" t="s">
        <v>871</v>
      </c>
      <c r="D274" s="32" t="s">
        <v>890</v>
      </c>
      <c r="E274" s="32" t="s">
        <v>891</v>
      </c>
      <c r="F274" s="32" t="s">
        <v>892</v>
      </c>
      <c r="G274" s="32" t="s">
        <v>40</v>
      </c>
      <c r="H274" s="32" t="s">
        <v>61</v>
      </c>
    </row>
    <row r="275" spans="1:8" ht="25.5" x14ac:dyDescent="0.2">
      <c r="A275" s="32">
        <v>2026</v>
      </c>
      <c r="B275" s="32" t="s">
        <v>115</v>
      </c>
      <c r="C275" s="32" t="s">
        <v>871</v>
      </c>
      <c r="D275" s="32" t="s">
        <v>893</v>
      </c>
      <c r="E275" s="32" t="s">
        <v>894</v>
      </c>
      <c r="F275" s="32" t="s">
        <v>895</v>
      </c>
      <c r="G275" s="32" t="s">
        <v>40</v>
      </c>
      <c r="H275" s="32" t="s">
        <v>61</v>
      </c>
    </row>
    <row r="276" spans="1:8" ht="25.5" x14ac:dyDescent="0.2">
      <c r="A276" s="32">
        <v>2026</v>
      </c>
      <c r="B276" s="32" t="s">
        <v>115</v>
      </c>
      <c r="C276" s="32" t="s">
        <v>871</v>
      </c>
      <c r="D276" s="32" t="s">
        <v>896</v>
      </c>
      <c r="E276" s="32" t="s">
        <v>897</v>
      </c>
      <c r="F276" s="32" t="s">
        <v>898</v>
      </c>
      <c r="G276" s="32" t="s">
        <v>40</v>
      </c>
      <c r="H276" s="32" t="s">
        <v>61</v>
      </c>
    </row>
    <row r="277" spans="1:8" x14ac:dyDescent="0.2">
      <c r="A277" s="32">
        <v>2026</v>
      </c>
      <c r="B277" s="32" t="s">
        <v>115</v>
      </c>
      <c r="C277" s="32" t="s">
        <v>899</v>
      </c>
      <c r="D277" s="32" t="s">
        <v>900</v>
      </c>
      <c r="E277" s="32" t="s">
        <v>901</v>
      </c>
      <c r="F277" s="32" t="s">
        <v>902</v>
      </c>
      <c r="G277" s="32" t="s">
        <v>40</v>
      </c>
      <c r="H277" s="32" t="s">
        <v>61</v>
      </c>
    </row>
    <row r="278" spans="1:8" x14ac:dyDescent="0.2">
      <c r="A278" s="32">
        <v>2026</v>
      </c>
      <c r="B278" s="32" t="s">
        <v>115</v>
      </c>
      <c r="C278" s="32" t="s">
        <v>899</v>
      </c>
      <c r="D278" s="32" t="s">
        <v>903</v>
      </c>
      <c r="E278" s="32" t="s">
        <v>904</v>
      </c>
      <c r="F278" s="32" t="s">
        <v>905</v>
      </c>
      <c r="G278" s="32" t="s">
        <v>40</v>
      </c>
      <c r="H278" s="32" t="s">
        <v>61</v>
      </c>
    </row>
    <row r="279" spans="1:8" ht="25.5" x14ac:dyDescent="0.2">
      <c r="A279" s="32">
        <v>2026</v>
      </c>
      <c r="B279" s="32" t="s">
        <v>115</v>
      </c>
      <c r="C279" s="32" t="s">
        <v>899</v>
      </c>
      <c r="D279" s="32" t="s">
        <v>906</v>
      </c>
      <c r="E279" s="32" t="s">
        <v>907</v>
      </c>
      <c r="F279" s="32" t="s">
        <v>908</v>
      </c>
      <c r="G279" s="32" t="s">
        <v>40</v>
      </c>
      <c r="H279" s="32" t="s">
        <v>61</v>
      </c>
    </row>
    <row r="280" spans="1:8" ht="25.5" x14ac:dyDescent="0.2">
      <c r="A280" s="32">
        <v>2026</v>
      </c>
      <c r="B280" s="32" t="s">
        <v>115</v>
      </c>
      <c r="C280" s="32" t="s">
        <v>899</v>
      </c>
      <c r="D280" s="32" t="s">
        <v>909</v>
      </c>
      <c r="E280" s="32" t="s">
        <v>910</v>
      </c>
      <c r="F280" s="32" t="s">
        <v>911</v>
      </c>
      <c r="G280" s="32" t="s">
        <v>40</v>
      </c>
      <c r="H280" s="32" t="s">
        <v>61</v>
      </c>
    </row>
    <row r="281" spans="1:8" x14ac:dyDescent="0.2">
      <c r="A281" s="32">
        <v>2026</v>
      </c>
      <c r="B281" s="32" t="s">
        <v>115</v>
      </c>
      <c r="C281" s="32" t="s">
        <v>912</v>
      </c>
      <c r="D281" s="32" t="s">
        <v>913</v>
      </c>
      <c r="E281" s="32" t="s">
        <v>914</v>
      </c>
      <c r="F281" s="32" t="s">
        <v>915</v>
      </c>
      <c r="G281" s="32" t="s">
        <v>40</v>
      </c>
      <c r="H281" s="32" t="s">
        <v>61</v>
      </c>
    </row>
    <row r="282" spans="1:8" x14ac:dyDescent="0.2">
      <c r="A282" s="32">
        <v>2026</v>
      </c>
      <c r="B282" s="32" t="s">
        <v>115</v>
      </c>
      <c r="C282" s="32" t="s">
        <v>912</v>
      </c>
      <c r="D282" s="32" t="s">
        <v>916</v>
      </c>
      <c r="E282" s="32" t="s">
        <v>917</v>
      </c>
      <c r="F282" s="32" t="s">
        <v>918</v>
      </c>
      <c r="G282" s="32" t="s">
        <v>40</v>
      </c>
      <c r="H282" s="32" t="s">
        <v>61</v>
      </c>
    </row>
    <row r="283" spans="1:8" x14ac:dyDescent="0.2">
      <c r="A283" s="32">
        <v>2026</v>
      </c>
      <c r="B283" s="32" t="s">
        <v>115</v>
      </c>
      <c r="C283" s="32" t="s">
        <v>912</v>
      </c>
      <c r="D283" s="32" t="s">
        <v>919</v>
      </c>
      <c r="E283" s="32" t="s">
        <v>920</v>
      </c>
      <c r="F283" s="32" t="s">
        <v>921</v>
      </c>
      <c r="G283" s="32" t="s">
        <v>40</v>
      </c>
      <c r="H283" s="32" t="s">
        <v>61</v>
      </c>
    </row>
    <row r="284" spans="1:8" x14ac:dyDescent="0.2">
      <c r="A284" s="32">
        <v>2026</v>
      </c>
      <c r="B284" s="32" t="s">
        <v>115</v>
      </c>
      <c r="C284" s="32" t="s">
        <v>912</v>
      </c>
      <c r="D284" s="32" t="s">
        <v>922</v>
      </c>
      <c r="E284" s="32" t="s">
        <v>923</v>
      </c>
      <c r="F284" s="32" t="s">
        <v>924</v>
      </c>
      <c r="G284" s="32" t="s">
        <v>40</v>
      </c>
      <c r="H284" s="32" t="s">
        <v>61</v>
      </c>
    </row>
    <row r="285" spans="1:8" x14ac:dyDescent="0.2">
      <c r="A285" s="32">
        <v>2026</v>
      </c>
      <c r="B285" s="32" t="s">
        <v>115</v>
      </c>
      <c r="C285" s="32" t="s">
        <v>912</v>
      </c>
      <c r="D285" s="32" t="s">
        <v>925</v>
      </c>
      <c r="E285" s="32" t="s">
        <v>926</v>
      </c>
      <c r="F285" s="32" t="s">
        <v>927</v>
      </c>
      <c r="G285" s="32" t="s">
        <v>40</v>
      </c>
      <c r="H285" s="32" t="s">
        <v>61</v>
      </c>
    </row>
    <row r="286" spans="1:8" ht="38.25" x14ac:dyDescent="0.2">
      <c r="A286" s="32">
        <v>2026</v>
      </c>
      <c r="B286" s="32" t="s">
        <v>115</v>
      </c>
      <c r="C286" s="32" t="s">
        <v>912</v>
      </c>
      <c r="D286" s="32" t="s">
        <v>928</v>
      </c>
      <c r="E286" s="32" t="s">
        <v>929</v>
      </c>
      <c r="F286" s="32" t="s">
        <v>930</v>
      </c>
      <c r="G286" s="32" t="s">
        <v>40</v>
      </c>
      <c r="H286" s="32" t="s">
        <v>61</v>
      </c>
    </row>
    <row r="287" spans="1:8" ht="51" x14ac:dyDescent="0.2">
      <c r="A287" s="32">
        <v>2026</v>
      </c>
      <c r="B287" s="32" t="s">
        <v>115</v>
      </c>
      <c r="C287" s="32" t="s">
        <v>912</v>
      </c>
      <c r="D287" s="32" t="s">
        <v>931</v>
      </c>
      <c r="E287" s="32" t="s">
        <v>932</v>
      </c>
      <c r="F287" s="32" t="s">
        <v>933</v>
      </c>
      <c r="G287" s="32" t="s">
        <v>40</v>
      </c>
      <c r="H287" s="32" t="s">
        <v>61</v>
      </c>
    </row>
    <row r="288" spans="1:8" ht="25.5" x14ac:dyDescent="0.2">
      <c r="A288" s="32">
        <v>2026</v>
      </c>
      <c r="B288" s="32" t="s">
        <v>115</v>
      </c>
      <c r="C288" s="32" t="s">
        <v>912</v>
      </c>
      <c r="D288" s="32" t="s">
        <v>934</v>
      </c>
      <c r="E288" s="32" t="s">
        <v>935</v>
      </c>
      <c r="F288" s="32" t="s">
        <v>936</v>
      </c>
      <c r="G288" s="32" t="s">
        <v>40</v>
      </c>
      <c r="H288" s="32" t="s">
        <v>61</v>
      </c>
    </row>
  </sheetData>
  <pageMargins left="0.78740157499999996" right="0.78740157499999996" top="0.984251969" bottom="0.984251969"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A1A12-8723-4C42-8173-607856183560}">
  <dimension ref="A1:E28"/>
  <sheetViews>
    <sheetView workbookViewId="0">
      <pane ySplit="1" topLeftCell="A2" activePane="bottomLeft" state="frozen"/>
      <selection pane="bottomLeft" activeCell="C28" sqref="C28"/>
    </sheetView>
  </sheetViews>
  <sheetFormatPr baseColWidth="10" defaultColWidth="11.42578125" defaultRowHeight="12.75" x14ac:dyDescent="0.2"/>
  <cols>
    <col min="1" max="2" width="20.28515625" style="32" bestFit="1" customWidth="1"/>
    <col min="3" max="3" width="25.28515625" style="32" customWidth="1"/>
    <col min="4" max="5" width="20.28515625" style="32" bestFit="1" customWidth="1"/>
    <col min="6" max="16384" width="11.42578125" style="31"/>
  </cols>
  <sheetData>
    <row r="1" spans="1:5" x14ac:dyDescent="0.2">
      <c r="A1" s="33" t="s">
        <v>0</v>
      </c>
      <c r="B1" s="33" t="s">
        <v>54</v>
      </c>
      <c r="C1" s="33" t="s">
        <v>55</v>
      </c>
      <c r="D1" s="33" t="s">
        <v>56</v>
      </c>
      <c r="E1" s="33" t="s">
        <v>57</v>
      </c>
    </row>
    <row r="2" spans="1:5" ht="25.5" x14ac:dyDescent="0.2">
      <c r="A2" s="32">
        <v>2026</v>
      </c>
      <c r="B2" s="32" t="s">
        <v>58</v>
      </c>
      <c r="C2" s="32" t="s">
        <v>59</v>
      </c>
      <c r="D2" s="32" t="s">
        <v>60</v>
      </c>
      <c r="E2" s="32" t="s">
        <v>61</v>
      </c>
    </row>
    <row r="3" spans="1:5" x14ac:dyDescent="0.2">
      <c r="A3" s="32">
        <v>2026</v>
      </c>
      <c r="B3" s="32" t="s">
        <v>58</v>
      </c>
      <c r="C3" s="32" t="s">
        <v>62</v>
      </c>
      <c r="D3" s="32" t="s">
        <v>63</v>
      </c>
      <c r="E3" s="32" t="s">
        <v>61</v>
      </c>
    </row>
    <row r="4" spans="1:5" ht="38.25" x14ac:dyDescent="0.2">
      <c r="A4" s="32">
        <v>2026</v>
      </c>
      <c r="B4" s="32" t="s">
        <v>58</v>
      </c>
      <c r="C4" s="32" t="s">
        <v>64</v>
      </c>
      <c r="D4" s="32" t="s">
        <v>65</v>
      </c>
      <c r="E4" s="32" t="s">
        <v>61</v>
      </c>
    </row>
    <row r="5" spans="1:5" ht="38.25" x14ac:dyDescent="0.2">
      <c r="A5" s="32">
        <v>2026</v>
      </c>
      <c r="B5" s="32" t="s">
        <v>58</v>
      </c>
      <c r="C5" s="32" t="s">
        <v>66</v>
      </c>
      <c r="D5" s="32" t="s">
        <v>67</v>
      </c>
      <c r="E5" s="32" t="s">
        <v>61</v>
      </c>
    </row>
    <row r="6" spans="1:5" ht="25.5" x14ac:dyDescent="0.2">
      <c r="A6" s="32">
        <v>2026</v>
      </c>
      <c r="B6" s="32" t="s">
        <v>58</v>
      </c>
      <c r="C6" s="32" t="s">
        <v>68</v>
      </c>
      <c r="D6" s="32" t="s">
        <v>69</v>
      </c>
      <c r="E6" s="32" t="s">
        <v>61</v>
      </c>
    </row>
    <row r="7" spans="1:5" x14ac:dyDescent="0.2">
      <c r="A7" s="32">
        <v>2026</v>
      </c>
      <c r="B7" s="32" t="s">
        <v>58</v>
      </c>
      <c r="C7" s="32" t="s">
        <v>70</v>
      </c>
      <c r="D7" s="32" t="s">
        <v>71</v>
      </c>
      <c r="E7" s="32" t="s">
        <v>61</v>
      </c>
    </row>
    <row r="8" spans="1:5" ht="38.25" x14ac:dyDescent="0.2">
      <c r="A8" s="32">
        <v>2026</v>
      </c>
      <c r="B8" s="32" t="s">
        <v>58</v>
      </c>
      <c r="C8" s="32" t="s">
        <v>72</v>
      </c>
      <c r="D8" s="32" t="s">
        <v>73</v>
      </c>
      <c r="E8" s="32" t="s">
        <v>74</v>
      </c>
    </row>
    <row r="9" spans="1:5" ht="25.5" x14ac:dyDescent="0.2">
      <c r="A9" s="32">
        <v>2026</v>
      </c>
      <c r="B9" s="32" t="s">
        <v>58</v>
      </c>
      <c r="C9" s="32" t="s">
        <v>75</v>
      </c>
      <c r="D9" s="32" t="s">
        <v>76</v>
      </c>
      <c r="E9" s="32" t="s">
        <v>61</v>
      </c>
    </row>
    <row r="10" spans="1:5" ht="25.5" x14ac:dyDescent="0.2">
      <c r="A10" s="32">
        <v>2026</v>
      </c>
      <c r="B10" s="32" t="s">
        <v>58</v>
      </c>
      <c r="C10" s="32" t="s">
        <v>77</v>
      </c>
      <c r="D10" s="32" t="s">
        <v>78</v>
      </c>
      <c r="E10" s="32" t="s">
        <v>61</v>
      </c>
    </row>
    <row r="11" spans="1:5" ht="63.75" x14ac:dyDescent="0.2">
      <c r="A11" s="32">
        <v>2026</v>
      </c>
      <c r="B11" s="32" t="s">
        <v>58</v>
      </c>
      <c r="C11" s="32" t="s">
        <v>79</v>
      </c>
      <c r="D11" s="32" t="s">
        <v>80</v>
      </c>
      <c r="E11" s="32" t="s">
        <v>61</v>
      </c>
    </row>
    <row r="12" spans="1:5" ht="25.5" x14ac:dyDescent="0.2">
      <c r="A12" s="32">
        <v>2026</v>
      </c>
      <c r="B12" s="32" t="s">
        <v>58</v>
      </c>
      <c r="C12" s="32" t="s">
        <v>81</v>
      </c>
      <c r="D12" s="32" t="s">
        <v>82</v>
      </c>
      <c r="E12" s="32" t="s">
        <v>61</v>
      </c>
    </row>
    <row r="13" spans="1:5" ht="51" x14ac:dyDescent="0.2">
      <c r="A13" s="32">
        <v>2026</v>
      </c>
      <c r="B13" s="32" t="s">
        <v>58</v>
      </c>
      <c r="C13" s="32" t="s">
        <v>83</v>
      </c>
      <c r="D13" s="32" t="s">
        <v>84</v>
      </c>
      <c r="E13" s="32" t="s">
        <v>74</v>
      </c>
    </row>
    <row r="14" spans="1:5" ht="25.5" x14ac:dyDescent="0.2">
      <c r="A14" s="32">
        <v>2026</v>
      </c>
      <c r="B14" s="32" t="s">
        <v>58</v>
      </c>
      <c r="C14" s="32" t="s">
        <v>85</v>
      </c>
      <c r="D14" s="32" t="s">
        <v>86</v>
      </c>
      <c r="E14" s="32" t="s">
        <v>74</v>
      </c>
    </row>
    <row r="15" spans="1:5" ht="38.25" x14ac:dyDescent="0.2">
      <c r="A15" s="32">
        <v>2026</v>
      </c>
      <c r="B15" s="32" t="s">
        <v>58</v>
      </c>
      <c r="C15" s="32" t="s">
        <v>87</v>
      </c>
      <c r="D15" s="32" t="s">
        <v>88</v>
      </c>
      <c r="E15" s="32" t="s">
        <v>61</v>
      </c>
    </row>
    <row r="16" spans="1:5" ht="38.25" x14ac:dyDescent="0.2">
      <c r="A16" s="32">
        <v>2026</v>
      </c>
      <c r="B16" s="32" t="s">
        <v>58</v>
      </c>
      <c r="C16" s="32" t="s">
        <v>89</v>
      </c>
      <c r="D16" s="32" t="s">
        <v>90</v>
      </c>
      <c r="E16" s="32" t="s">
        <v>74</v>
      </c>
    </row>
    <row r="17" spans="1:5" ht="38.25" x14ac:dyDescent="0.2">
      <c r="A17" s="32">
        <v>2026</v>
      </c>
      <c r="B17" s="32" t="s">
        <v>58</v>
      </c>
      <c r="C17" s="32" t="s">
        <v>91</v>
      </c>
      <c r="D17" s="32" t="s">
        <v>92</v>
      </c>
      <c r="E17" s="32" t="s">
        <v>74</v>
      </c>
    </row>
    <row r="18" spans="1:5" ht="25.5" x14ac:dyDescent="0.2">
      <c r="A18" s="32">
        <v>2026</v>
      </c>
      <c r="B18" s="32" t="s">
        <v>58</v>
      </c>
      <c r="C18" s="32" t="s">
        <v>93</v>
      </c>
      <c r="D18" s="32" t="s">
        <v>94</v>
      </c>
      <c r="E18" s="32" t="s">
        <v>74</v>
      </c>
    </row>
    <row r="19" spans="1:5" ht="63.75" x14ac:dyDescent="0.2">
      <c r="A19" s="32">
        <v>2026</v>
      </c>
      <c r="B19" s="32" t="s">
        <v>58</v>
      </c>
      <c r="C19" s="32" t="s">
        <v>95</v>
      </c>
      <c r="D19" s="32" t="s">
        <v>96</v>
      </c>
      <c r="E19" s="32" t="s">
        <v>61</v>
      </c>
    </row>
    <row r="20" spans="1:5" ht="25.5" x14ac:dyDescent="0.2">
      <c r="A20" s="32">
        <v>2026</v>
      </c>
      <c r="B20" s="32" t="s">
        <v>58</v>
      </c>
      <c r="C20" s="32" t="s">
        <v>97</v>
      </c>
      <c r="D20" s="32" t="s">
        <v>98</v>
      </c>
      <c r="E20" s="32" t="s">
        <v>61</v>
      </c>
    </row>
    <row r="21" spans="1:5" ht="25.5" x14ac:dyDescent="0.2">
      <c r="A21" s="32">
        <v>2026</v>
      </c>
      <c r="B21" s="32" t="s">
        <v>58</v>
      </c>
      <c r="C21" s="32" t="s">
        <v>99</v>
      </c>
      <c r="D21" s="32" t="s">
        <v>100</v>
      </c>
      <c r="E21" s="32" t="s">
        <v>61</v>
      </c>
    </row>
    <row r="22" spans="1:5" ht="38.25" x14ac:dyDescent="0.2">
      <c r="A22" s="32">
        <v>2026</v>
      </c>
      <c r="B22" s="32" t="s">
        <v>58</v>
      </c>
      <c r="C22" s="32" t="s">
        <v>101</v>
      </c>
      <c r="D22" s="32" t="s">
        <v>102</v>
      </c>
      <c r="E22" s="32" t="s">
        <v>61</v>
      </c>
    </row>
    <row r="23" spans="1:5" ht="76.5" x14ac:dyDescent="0.2">
      <c r="A23" s="32">
        <v>2026</v>
      </c>
      <c r="B23" s="32" t="s">
        <v>58</v>
      </c>
      <c r="C23" s="32" t="s">
        <v>103</v>
      </c>
      <c r="D23" s="32" t="s">
        <v>104</v>
      </c>
      <c r="E23" s="32" t="s">
        <v>61</v>
      </c>
    </row>
    <row r="24" spans="1:5" ht="25.5" x14ac:dyDescent="0.2">
      <c r="A24" s="32">
        <v>2026</v>
      </c>
      <c r="B24" s="32" t="s">
        <v>58</v>
      </c>
      <c r="C24" s="32" t="s">
        <v>105</v>
      </c>
      <c r="D24" s="32" t="s">
        <v>106</v>
      </c>
      <c r="E24" s="32" t="s">
        <v>61</v>
      </c>
    </row>
    <row r="25" spans="1:5" ht="25.5" x14ac:dyDescent="0.2">
      <c r="A25" s="32">
        <v>2026</v>
      </c>
      <c r="B25" s="32" t="s">
        <v>58</v>
      </c>
      <c r="C25" s="32" t="s">
        <v>107</v>
      </c>
      <c r="D25" s="32" t="s">
        <v>108</v>
      </c>
      <c r="E25" s="32" t="s">
        <v>74</v>
      </c>
    </row>
    <row r="26" spans="1:5" ht="25.5" x14ac:dyDescent="0.2">
      <c r="A26" s="32">
        <v>2026</v>
      </c>
      <c r="B26" s="32" t="s">
        <v>58</v>
      </c>
      <c r="C26" s="32" t="s">
        <v>988</v>
      </c>
      <c r="D26" s="32" t="s">
        <v>1393</v>
      </c>
      <c r="E26" s="32" t="s">
        <v>61</v>
      </c>
    </row>
    <row r="27" spans="1:5" ht="38.25" x14ac:dyDescent="0.2">
      <c r="A27" s="32">
        <v>2026</v>
      </c>
      <c r="B27" s="32" t="s">
        <v>58</v>
      </c>
      <c r="C27" s="32" t="s">
        <v>990</v>
      </c>
      <c r="D27" s="32" t="s">
        <v>1394</v>
      </c>
      <c r="E27" s="32" t="s">
        <v>61</v>
      </c>
    </row>
    <row r="28" spans="1:5" ht="25.5" x14ac:dyDescent="0.2">
      <c r="A28" s="32">
        <v>2026</v>
      </c>
      <c r="B28" s="32" t="s">
        <v>58</v>
      </c>
      <c r="C28" s="32" t="s">
        <v>1288</v>
      </c>
      <c r="D28" s="32" t="s">
        <v>1395</v>
      </c>
      <c r="E28" s="32" t="s">
        <v>61</v>
      </c>
    </row>
  </sheetData>
  <pageMargins left="0.78740157499999996" right="0.78740157499999996" top="0.984251969" bottom="0.9842519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C1A3-5A2C-4BC6-AEF0-B82B4B80B70D}">
  <dimension ref="A1:D6"/>
  <sheetViews>
    <sheetView workbookViewId="0">
      <pane ySplit="1" topLeftCell="A2" activePane="bottomLeft" state="frozen"/>
      <selection pane="bottomLeft" activeCell="K24" sqref="K24"/>
    </sheetView>
  </sheetViews>
  <sheetFormatPr baseColWidth="10" defaultColWidth="11.42578125" defaultRowHeight="12.75" x14ac:dyDescent="0.2"/>
  <cols>
    <col min="1" max="4" width="20.28515625" style="32" bestFit="1" customWidth="1"/>
    <col min="5" max="16384" width="11.42578125" style="31"/>
  </cols>
  <sheetData>
    <row r="1" spans="1:4" x14ac:dyDescent="0.2">
      <c r="A1" s="33" t="s">
        <v>0</v>
      </c>
      <c r="B1" s="33" t="s">
        <v>117</v>
      </c>
      <c r="C1" s="33" t="s">
        <v>56</v>
      </c>
      <c r="D1" s="33" t="s">
        <v>57</v>
      </c>
    </row>
    <row r="2" spans="1:4" x14ac:dyDescent="0.2">
      <c r="A2" s="32">
        <v>2026</v>
      </c>
      <c r="B2" s="32" t="s">
        <v>118</v>
      </c>
      <c r="C2" s="32" t="s">
        <v>119</v>
      </c>
      <c r="D2" s="32" t="s">
        <v>61</v>
      </c>
    </row>
    <row r="3" spans="1:4" x14ac:dyDescent="0.2">
      <c r="A3" s="32">
        <v>2026</v>
      </c>
      <c r="B3" s="32" t="s">
        <v>120</v>
      </c>
      <c r="C3" s="32" t="s">
        <v>121</v>
      </c>
      <c r="D3" s="32" t="s">
        <v>61</v>
      </c>
    </row>
    <row r="4" spans="1:4" ht="51" x14ac:dyDescent="0.2">
      <c r="A4" s="32">
        <v>2026</v>
      </c>
      <c r="B4" s="32" t="s">
        <v>45</v>
      </c>
      <c r="C4" s="32" t="s">
        <v>122</v>
      </c>
      <c r="D4" s="32" t="s">
        <v>61</v>
      </c>
    </row>
    <row r="5" spans="1:4" ht="25.5" x14ac:dyDescent="0.2">
      <c r="A5" s="32">
        <v>2026</v>
      </c>
      <c r="B5" s="32" t="s">
        <v>123</v>
      </c>
      <c r="C5" s="32" t="s">
        <v>124</v>
      </c>
      <c r="D5" s="32" t="s">
        <v>61</v>
      </c>
    </row>
    <row r="6" spans="1:4" x14ac:dyDescent="0.2">
      <c r="A6" s="32">
        <v>2026</v>
      </c>
      <c r="B6" s="32" t="s">
        <v>125</v>
      </c>
      <c r="C6" s="32" t="s">
        <v>126</v>
      </c>
      <c r="D6" s="32" t="s">
        <v>61</v>
      </c>
    </row>
  </sheetData>
  <pageMargins left="0.78740157499999996" right="0.78740157499999996" top="0.984251969" bottom="0.984251969"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F01B-2B34-41F2-A468-801B2BDFABCD}">
  <dimension ref="A1:D5"/>
  <sheetViews>
    <sheetView workbookViewId="0">
      <pane ySplit="1" topLeftCell="A2" activePane="bottomLeft" state="frozen"/>
      <selection pane="bottomLeft" activeCell="F23" sqref="F23"/>
    </sheetView>
  </sheetViews>
  <sheetFormatPr baseColWidth="10" defaultColWidth="11.42578125" defaultRowHeight="12.75" x14ac:dyDescent="0.2"/>
  <cols>
    <col min="1" max="4" width="20.28515625" style="32" bestFit="1" customWidth="1"/>
    <col min="5" max="16384" width="11.42578125" style="31"/>
  </cols>
  <sheetData>
    <row r="1" spans="1:4" x14ac:dyDescent="0.2">
      <c r="A1" s="33" t="s">
        <v>0</v>
      </c>
      <c r="B1" s="33" t="s">
        <v>5</v>
      </c>
      <c r="C1" s="33" t="s">
        <v>56</v>
      </c>
      <c r="D1" s="33" t="s">
        <v>57</v>
      </c>
    </row>
    <row r="2" spans="1:4" ht="25.5" x14ac:dyDescent="0.2">
      <c r="A2" s="32">
        <v>2026</v>
      </c>
      <c r="B2" s="32" t="s">
        <v>109</v>
      </c>
      <c r="C2" s="32" t="s">
        <v>110</v>
      </c>
      <c r="D2" s="32" t="s">
        <v>61</v>
      </c>
    </row>
    <row r="3" spans="1:4" ht="25.5" x14ac:dyDescent="0.2">
      <c r="A3" s="32">
        <v>2026</v>
      </c>
      <c r="B3" s="32" t="s">
        <v>111</v>
      </c>
      <c r="C3" s="32" t="s">
        <v>112</v>
      </c>
      <c r="D3" s="32" t="s">
        <v>61</v>
      </c>
    </row>
    <row r="4" spans="1:4" ht="51" x14ac:dyDescent="0.2">
      <c r="A4" s="32">
        <v>2026</v>
      </c>
      <c r="B4" s="32" t="s">
        <v>113</v>
      </c>
      <c r="C4" s="32" t="s">
        <v>114</v>
      </c>
      <c r="D4" s="32" t="s">
        <v>61</v>
      </c>
    </row>
    <row r="5" spans="1:4" ht="38.25" x14ac:dyDescent="0.2">
      <c r="A5" s="32">
        <v>2026</v>
      </c>
      <c r="B5" s="32" t="s">
        <v>115</v>
      </c>
      <c r="C5" s="32" t="s">
        <v>116</v>
      </c>
      <c r="D5" s="32" t="s">
        <v>61</v>
      </c>
    </row>
  </sheetData>
  <pageMargins left="0.78740157499999996" right="0.78740157499999996" top="0.984251969" bottom="0.984251969"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DC665-D94A-4B9A-82EA-2FC2790AA163}">
  <dimension ref="A1:E218"/>
  <sheetViews>
    <sheetView workbookViewId="0">
      <pane ySplit="1" topLeftCell="A121" activePane="bottomLeft" state="frozen"/>
      <selection pane="bottomLeft" activeCell="J119" sqref="J119"/>
    </sheetView>
  </sheetViews>
  <sheetFormatPr baseColWidth="10" defaultColWidth="11.42578125" defaultRowHeight="12.75" x14ac:dyDescent="0.2"/>
  <cols>
    <col min="1" max="5" width="20.28515625" style="32" bestFit="1" customWidth="1"/>
    <col min="6" max="16384" width="11.42578125" style="31"/>
  </cols>
  <sheetData>
    <row r="1" spans="1:5" x14ac:dyDescent="0.2">
      <c r="A1" s="33" t="s">
        <v>0</v>
      </c>
      <c r="B1" s="33" t="s">
        <v>937</v>
      </c>
      <c r="C1" s="33" t="s">
        <v>938</v>
      </c>
      <c r="D1" s="33" t="s">
        <v>56</v>
      </c>
      <c r="E1" s="33" t="s">
        <v>57</v>
      </c>
    </row>
    <row r="2" spans="1:5" x14ac:dyDescent="0.2">
      <c r="A2" s="32">
        <v>2026</v>
      </c>
      <c r="B2" s="32" t="s">
        <v>48</v>
      </c>
      <c r="C2" s="32" t="s">
        <v>62</v>
      </c>
      <c r="D2" s="32" t="s">
        <v>939</v>
      </c>
      <c r="E2" s="32" t="s">
        <v>61</v>
      </c>
    </row>
    <row r="3" spans="1:5" x14ac:dyDescent="0.2">
      <c r="A3" s="32">
        <v>2026</v>
      </c>
      <c r="B3" s="32" t="s">
        <v>48</v>
      </c>
      <c r="C3" s="32" t="s">
        <v>64</v>
      </c>
      <c r="D3" s="32" t="s">
        <v>940</v>
      </c>
      <c r="E3" s="32" t="s">
        <v>61</v>
      </c>
    </row>
    <row r="4" spans="1:5" x14ac:dyDescent="0.2">
      <c r="A4" s="32">
        <v>2026</v>
      </c>
      <c r="B4" s="32" t="s">
        <v>48</v>
      </c>
      <c r="C4" s="32" t="s">
        <v>66</v>
      </c>
      <c r="D4" s="32" t="s">
        <v>941</v>
      </c>
      <c r="E4" s="32" t="s">
        <v>61</v>
      </c>
    </row>
    <row r="5" spans="1:5" x14ac:dyDescent="0.2">
      <c r="A5" s="32">
        <v>2026</v>
      </c>
      <c r="B5" s="32" t="s">
        <v>48</v>
      </c>
      <c r="C5" s="32" t="s">
        <v>68</v>
      </c>
      <c r="D5" s="32" t="s">
        <v>942</v>
      </c>
      <c r="E5" s="32" t="s">
        <v>61</v>
      </c>
    </row>
    <row r="6" spans="1:5" x14ac:dyDescent="0.2">
      <c r="A6" s="32">
        <v>2026</v>
      </c>
      <c r="B6" s="32" t="s">
        <v>48</v>
      </c>
      <c r="C6" s="32" t="s">
        <v>70</v>
      </c>
      <c r="D6" s="32" t="s">
        <v>943</v>
      </c>
      <c r="E6" s="32" t="s">
        <v>61</v>
      </c>
    </row>
    <row r="7" spans="1:5" x14ac:dyDescent="0.2">
      <c r="A7" s="32">
        <v>2026</v>
      </c>
      <c r="B7" s="32" t="s">
        <v>48</v>
      </c>
      <c r="C7" s="32" t="s">
        <v>72</v>
      </c>
      <c r="D7" s="32" t="s">
        <v>944</v>
      </c>
      <c r="E7" s="32" t="s">
        <v>61</v>
      </c>
    </row>
    <row r="8" spans="1:5" x14ac:dyDescent="0.2">
      <c r="A8" s="32">
        <v>2026</v>
      </c>
      <c r="B8" s="32" t="s">
        <v>48</v>
      </c>
      <c r="C8" s="32" t="s">
        <v>75</v>
      </c>
      <c r="D8" s="32" t="s">
        <v>945</v>
      </c>
      <c r="E8" s="32" t="s">
        <v>61</v>
      </c>
    </row>
    <row r="9" spans="1:5" x14ac:dyDescent="0.2">
      <c r="A9" s="32">
        <v>2026</v>
      </c>
      <c r="B9" s="32" t="s">
        <v>48</v>
      </c>
      <c r="C9" s="32" t="s">
        <v>77</v>
      </c>
      <c r="D9" s="32" t="s">
        <v>946</v>
      </c>
      <c r="E9" s="32" t="s">
        <v>61</v>
      </c>
    </row>
    <row r="10" spans="1:5" x14ac:dyDescent="0.2">
      <c r="A10" s="32">
        <v>2026</v>
      </c>
      <c r="B10" s="32" t="s">
        <v>48</v>
      </c>
      <c r="C10" s="32" t="s">
        <v>79</v>
      </c>
      <c r="D10" s="32" t="s">
        <v>947</v>
      </c>
      <c r="E10" s="32" t="s">
        <v>61</v>
      </c>
    </row>
    <row r="11" spans="1:5" x14ac:dyDescent="0.2">
      <c r="A11" s="32">
        <v>2026</v>
      </c>
      <c r="B11" s="32" t="s">
        <v>48</v>
      </c>
      <c r="C11" s="32" t="s">
        <v>948</v>
      </c>
      <c r="D11" s="32" t="s">
        <v>949</v>
      </c>
      <c r="E11" s="32" t="s">
        <v>61</v>
      </c>
    </row>
    <row r="12" spans="1:5" x14ac:dyDescent="0.2">
      <c r="A12" s="32">
        <v>2026</v>
      </c>
      <c r="B12" s="32" t="s">
        <v>48</v>
      </c>
      <c r="C12" s="32" t="s">
        <v>950</v>
      </c>
      <c r="D12" s="32" t="s">
        <v>951</v>
      </c>
      <c r="E12" s="32" t="s">
        <v>61</v>
      </c>
    </row>
    <row r="13" spans="1:5" x14ac:dyDescent="0.2">
      <c r="A13" s="32">
        <v>2026</v>
      </c>
      <c r="B13" s="32" t="s">
        <v>48</v>
      </c>
      <c r="C13" s="32" t="s">
        <v>81</v>
      </c>
      <c r="D13" s="32" t="s">
        <v>952</v>
      </c>
      <c r="E13" s="32" t="s">
        <v>61</v>
      </c>
    </row>
    <row r="14" spans="1:5" x14ac:dyDescent="0.2">
      <c r="A14" s="32">
        <v>2026</v>
      </c>
      <c r="B14" s="32" t="s">
        <v>48</v>
      </c>
      <c r="C14" s="32" t="s">
        <v>953</v>
      </c>
      <c r="D14" s="32" t="s">
        <v>954</v>
      </c>
      <c r="E14" s="32" t="s">
        <v>61</v>
      </c>
    </row>
    <row r="15" spans="1:5" x14ac:dyDescent="0.2">
      <c r="A15" s="32">
        <v>2026</v>
      </c>
      <c r="B15" s="32" t="s">
        <v>48</v>
      </c>
      <c r="C15" s="32" t="s">
        <v>955</v>
      </c>
      <c r="D15" s="32" t="s">
        <v>956</v>
      </c>
      <c r="E15" s="32" t="s">
        <v>61</v>
      </c>
    </row>
    <row r="16" spans="1:5" x14ac:dyDescent="0.2">
      <c r="A16" s="32">
        <v>2026</v>
      </c>
      <c r="B16" s="32" t="s">
        <v>48</v>
      </c>
      <c r="C16" s="32" t="s">
        <v>957</v>
      </c>
      <c r="D16" s="32" t="s">
        <v>958</v>
      </c>
      <c r="E16" s="32" t="s">
        <v>61</v>
      </c>
    </row>
    <row r="17" spans="1:5" x14ac:dyDescent="0.2">
      <c r="A17" s="32">
        <v>2026</v>
      </c>
      <c r="B17" s="32" t="s">
        <v>48</v>
      </c>
      <c r="C17" s="32" t="s">
        <v>959</v>
      </c>
      <c r="D17" s="32" t="s">
        <v>960</v>
      </c>
      <c r="E17" s="32" t="s">
        <v>61</v>
      </c>
    </row>
    <row r="18" spans="1:5" x14ac:dyDescent="0.2">
      <c r="A18" s="32">
        <v>2026</v>
      </c>
      <c r="B18" s="32" t="s">
        <v>48</v>
      </c>
      <c r="C18" s="32" t="s">
        <v>83</v>
      </c>
      <c r="D18" s="32" t="s">
        <v>961</v>
      </c>
      <c r="E18" s="32" t="s">
        <v>61</v>
      </c>
    </row>
    <row r="19" spans="1:5" x14ac:dyDescent="0.2">
      <c r="A19" s="32">
        <v>2026</v>
      </c>
      <c r="B19" s="32" t="s">
        <v>48</v>
      </c>
      <c r="C19" s="32" t="s">
        <v>85</v>
      </c>
      <c r="D19" s="32" t="s">
        <v>962</v>
      </c>
      <c r="E19" s="32" t="s">
        <v>61</v>
      </c>
    </row>
    <row r="20" spans="1:5" x14ac:dyDescent="0.2">
      <c r="A20" s="32">
        <v>2026</v>
      </c>
      <c r="B20" s="32" t="s">
        <v>48</v>
      </c>
      <c r="C20" s="32" t="s">
        <v>87</v>
      </c>
      <c r="D20" s="32" t="s">
        <v>963</v>
      </c>
      <c r="E20" s="32" t="s">
        <v>61</v>
      </c>
    </row>
    <row r="21" spans="1:5" x14ac:dyDescent="0.2">
      <c r="A21" s="32">
        <v>2026</v>
      </c>
      <c r="B21" s="32" t="s">
        <v>48</v>
      </c>
      <c r="C21" s="32" t="s">
        <v>964</v>
      </c>
      <c r="D21" s="32" t="s">
        <v>965</v>
      </c>
      <c r="E21" s="32" t="s">
        <v>61</v>
      </c>
    </row>
    <row r="22" spans="1:5" x14ac:dyDescent="0.2">
      <c r="A22" s="32">
        <v>2026</v>
      </c>
      <c r="B22" s="32" t="s">
        <v>48</v>
      </c>
      <c r="C22" s="32" t="s">
        <v>89</v>
      </c>
      <c r="D22" s="32" t="s">
        <v>966</v>
      </c>
      <c r="E22" s="32" t="s">
        <v>61</v>
      </c>
    </row>
    <row r="23" spans="1:5" x14ac:dyDescent="0.2">
      <c r="A23" s="32">
        <v>2026</v>
      </c>
      <c r="B23" s="32" t="s">
        <v>48</v>
      </c>
      <c r="C23" s="32" t="s">
        <v>91</v>
      </c>
      <c r="D23" s="32" t="s">
        <v>967</v>
      </c>
      <c r="E23" s="32" t="s">
        <v>61</v>
      </c>
    </row>
    <row r="24" spans="1:5" x14ac:dyDescent="0.2">
      <c r="A24" s="32">
        <v>2026</v>
      </c>
      <c r="B24" s="32" t="s">
        <v>48</v>
      </c>
      <c r="C24" s="32" t="s">
        <v>93</v>
      </c>
      <c r="D24" s="32" t="s">
        <v>968</v>
      </c>
      <c r="E24" s="32" t="s">
        <v>61</v>
      </c>
    </row>
    <row r="25" spans="1:5" x14ac:dyDescent="0.2">
      <c r="A25" s="32">
        <v>2026</v>
      </c>
      <c r="B25" s="32" t="s">
        <v>48</v>
      </c>
      <c r="C25" s="32" t="s">
        <v>969</v>
      </c>
      <c r="D25" s="32" t="s">
        <v>970</v>
      </c>
      <c r="E25" s="32" t="s">
        <v>61</v>
      </c>
    </row>
    <row r="26" spans="1:5" ht="25.5" x14ac:dyDescent="0.2">
      <c r="A26" s="32">
        <v>2026</v>
      </c>
      <c r="B26" s="32" t="s">
        <v>48</v>
      </c>
      <c r="C26" s="32" t="s">
        <v>971</v>
      </c>
      <c r="D26" s="32" t="s">
        <v>972</v>
      </c>
      <c r="E26" s="32" t="s">
        <v>61</v>
      </c>
    </row>
    <row r="27" spans="1:5" x14ac:dyDescent="0.2">
      <c r="A27" s="32">
        <v>2026</v>
      </c>
      <c r="B27" s="32" t="s">
        <v>48</v>
      </c>
      <c r="C27" s="32" t="s">
        <v>95</v>
      </c>
      <c r="D27" s="32" t="s">
        <v>973</v>
      </c>
      <c r="E27" s="32" t="s">
        <v>61</v>
      </c>
    </row>
    <row r="28" spans="1:5" x14ac:dyDescent="0.2">
      <c r="A28" s="32">
        <v>2026</v>
      </c>
      <c r="B28" s="32" t="s">
        <v>48</v>
      </c>
      <c r="C28" s="32" t="s">
        <v>97</v>
      </c>
      <c r="D28" s="32" t="s">
        <v>974</v>
      </c>
      <c r="E28" s="32" t="s">
        <v>61</v>
      </c>
    </row>
    <row r="29" spans="1:5" x14ac:dyDescent="0.2">
      <c r="A29" s="32">
        <v>2026</v>
      </c>
      <c r="B29" s="32" t="s">
        <v>48</v>
      </c>
      <c r="C29" s="32" t="s">
        <v>99</v>
      </c>
      <c r="D29" s="32" t="s">
        <v>975</v>
      </c>
      <c r="E29" s="32" t="s">
        <v>61</v>
      </c>
    </row>
    <row r="30" spans="1:5" x14ac:dyDescent="0.2">
      <c r="A30" s="32">
        <v>2026</v>
      </c>
      <c r="B30" s="32" t="s">
        <v>48</v>
      </c>
      <c r="C30" s="32" t="s">
        <v>976</v>
      </c>
      <c r="D30" s="32" t="s">
        <v>977</v>
      </c>
      <c r="E30" s="32" t="s">
        <v>61</v>
      </c>
    </row>
    <row r="31" spans="1:5" x14ac:dyDescent="0.2">
      <c r="A31" s="32">
        <v>2026</v>
      </c>
      <c r="B31" s="32" t="s">
        <v>48</v>
      </c>
      <c r="C31" s="32" t="s">
        <v>978</v>
      </c>
      <c r="D31" s="32" t="s">
        <v>979</v>
      </c>
      <c r="E31" s="32" t="s">
        <v>61</v>
      </c>
    </row>
    <row r="32" spans="1:5" x14ac:dyDescent="0.2">
      <c r="A32" s="32">
        <v>2026</v>
      </c>
      <c r="B32" s="32" t="s">
        <v>48</v>
      </c>
      <c r="C32" s="32" t="s">
        <v>101</v>
      </c>
      <c r="D32" s="32" t="s">
        <v>980</v>
      </c>
      <c r="E32" s="32" t="s">
        <v>61</v>
      </c>
    </row>
    <row r="33" spans="1:5" x14ac:dyDescent="0.2">
      <c r="A33" s="32">
        <v>2026</v>
      </c>
      <c r="B33" s="32" t="s">
        <v>48</v>
      </c>
      <c r="C33" s="32" t="s">
        <v>103</v>
      </c>
      <c r="D33" s="32" t="s">
        <v>981</v>
      </c>
      <c r="E33" s="32" t="s">
        <v>61</v>
      </c>
    </row>
    <row r="34" spans="1:5" x14ac:dyDescent="0.2">
      <c r="A34" s="32">
        <v>2026</v>
      </c>
      <c r="B34" s="32" t="s">
        <v>48</v>
      </c>
      <c r="C34" s="32" t="s">
        <v>982</v>
      </c>
      <c r="D34" s="32" t="s">
        <v>983</v>
      </c>
      <c r="E34" s="32" t="s">
        <v>61</v>
      </c>
    </row>
    <row r="35" spans="1:5" x14ac:dyDescent="0.2">
      <c r="A35" s="32">
        <v>2026</v>
      </c>
      <c r="B35" s="32" t="s">
        <v>48</v>
      </c>
      <c r="C35" s="32" t="s">
        <v>984</v>
      </c>
      <c r="D35" s="32" t="s">
        <v>985</v>
      </c>
      <c r="E35" s="32" t="s">
        <v>61</v>
      </c>
    </row>
    <row r="36" spans="1:5" x14ac:dyDescent="0.2">
      <c r="A36" s="32">
        <v>2026</v>
      </c>
      <c r="B36" s="32" t="s">
        <v>48</v>
      </c>
      <c r="C36" s="32" t="s">
        <v>105</v>
      </c>
      <c r="D36" s="32" t="s">
        <v>986</v>
      </c>
      <c r="E36" s="32" t="s">
        <v>61</v>
      </c>
    </row>
    <row r="37" spans="1:5" x14ac:dyDescent="0.2">
      <c r="A37" s="32">
        <v>2026</v>
      </c>
      <c r="B37" s="32" t="s">
        <v>48</v>
      </c>
      <c r="C37" s="32" t="s">
        <v>107</v>
      </c>
      <c r="D37" s="32" t="s">
        <v>987</v>
      </c>
      <c r="E37" s="32" t="s">
        <v>61</v>
      </c>
    </row>
    <row r="38" spans="1:5" x14ac:dyDescent="0.2">
      <c r="A38" s="32">
        <v>2026</v>
      </c>
      <c r="B38" s="32" t="s">
        <v>48</v>
      </c>
      <c r="C38" s="32" t="s">
        <v>988</v>
      </c>
      <c r="D38" s="32" t="s">
        <v>989</v>
      </c>
      <c r="E38" s="32" t="s">
        <v>61</v>
      </c>
    </row>
    <row r="39" spans="1:5" ht="25.5" x14ac:dyDescent="0.2">
      <c r="A39" s="32">
        <v>2026</v>
      </c>
      <c r="B39" s="32" t="s">
        <v>48</v>
      </c>
      <c r="C39" s="32" t="s">
        <v>990</v>
      </c>
      <c r="D39" s="32" t="s">
        <v>991</v>
      </c>
      <c r="E39" s="32" t="s">
        <v>61</v>
      </c>
    </row>
    <row r="40" spans="1:5" x14ac:dyDescent="0.2">
      <c r="A40" s="32">
        <v>2026</v>
      </c>
      <c r="B40" s="32" t="s">
        <v>48</v>
      </c>
      <c r="C40" s="32" t="s">
        <v>992</v>
      </c>
      <c r="D40" s="32" t="s">
        <v>993</v>
      </c>
      <c r="E40" s="32" t="s">
        <v>61</v>
      </c>
    </row>
    <row r="41" spans="1:5" x14ac:dyDescent="0.2">
      <c r="A41" s="32">
        <v>2026</v>
      </c>
      <c r="B41" s="32" t="s">
        <v>48</v>
      </c>
      <c r="C41" s="32" t="s">
        <v>994</v>
      </c>
      <c r="D41" s="32" t="s">
        <v>995</v>
      </c>
      <c r="E41" s="32" t="s">
        <v>61</v>
      </c>
    </row>
    <row r="42" spans="1:5" x14ac:dyDescent="0.2">
      <c r="A42" s="32">
        <v>2026</v>
      </c>
      <c r="B42" s="32" t="s">
        <v>48</v>
      </c>
      <c r="C42" s="32" t="s">
        <v>996</v>
      </c>
      <c r="D42" s="32" t="s">
        <v>997</v>
      </c>
      <c r="E42" s="32" t="s">
        <v>61</v>
      </c>
    </row>
    <row r="43" spans="1:5" ht="25.5" x14ac:dyDescent="0.2">
      <c r="A43" s="32">
        <v>2026</v>
      </c>
      <c r="B43" s="32" t="s">
        <v>48</v>
      </c>
      <c r="C43" s="32" t="s">
        <v>998</v>
      </c>
      <c r="D43" s="32" t="s">
        <v>999</v>
      </c>
      <c r="E43" s="32" t="s">
        <v>61</v>
      </c>
    </row>
    <row r="44" spans="1:5" ht="25.5" x14ac:dyDescent="0.2">
      <c r="A44" s="32">
        <v>2026</v>
      </c>
      <c r="B44" s="32" t="s">
        <v>48</v>
      </c>
      <c r="C44" s="32" t="s">
        <v>1000</v>
      </c>
      <c r="D44" s="32" t="s">
        <v>1001</v>
      </c>
      <c r="E44" s="32" t="s">
        <v>61</v>
      </c>
    </row>
    <row r="45" spans="1:5" x14ac:dyDescent="0.2">
      <c r="A45" s="32">
        <v>2026</v>
      </c>
      <c r="B45" s="32" t="s">
        <v>48</v>
      </c>
      <c r="C45" s="32" t="s">
        <v>1002</v>
      </c>
      <c r="D45" s="32" t="s">
        <v>1003</v>
      </c>
      <c r="E45" s="32" t="s">
        <v>61</v>
      </c>
    </row>
    <row r="46" spans="1:5" ht="25.5" x14ac:dyDescent="0.2">
      <c r="A46" s="32">
        <v>2026</v>
      </c>
      <c r="B46" s="32" t="s">
        <v>48</v>
      </c>
      <c r="C46" s="32" t="s">
        <v>1004</v>
      </c>
      <c r="D46" s="32" t="s">
        <v>1005</v>
      </c>
      <c r="E46" s="32" t="s">
        <v>61</v>
      </c>
    </row>
    <row r="47" spans="1:5" x14ac:dyDescent="0.2">
      <c r="A47" s="32">
        <v>2026</v>
      </c>
      <c r="B47" s="32" t="s">
        <v>48</v>
      </c>
      <c r="C47" s="32" t="s">
        <v>1006</v>
      </c>
      <c r="D47" s="32" t="s">
        <v>1007</v>
      </c>
      <c r="E47" s="32" t="s">
        <v>61</v>
      </c>
    </row>
    <row r="48" spans="1:5" x14ac:dyDescent="0.2">
      <c r="A48" s="32">
        <v>2026</v>
      </c>
      <c r="B48" s="32" t="s">
        <v>48</v>
      </c>
      <c r="C48" s="32" t="s">
        <v>1008</v>
      </c>
      <c r="D48" s="32" t="s">
        <v>1009</v>
      </c>
      <c r="E48" s="32" t="s">
        <v>61</v>
      </c>
    </row>
    <row r="49" spans="1:5" x14ac:dyDescent="0.2">
      <c r="A49" s="32">
        <v>2026</v>
      </c>
      <c r="B49" s="32" t="s">
        <v>48</v>
      </c>
      <c r="C49" s="32" t="s">
        <v>1010</v>
      </c>
      <c r="D49" s="32" t="s">
        <v>1011</v>
      </c>
      <c r="E49" s="32" t="s">
        <v>61</v>
      </c>
    </row>
    <row r="50" spans="1:5" x14ac:dyDescent="0.2">
      <c r="A50" s="32">
        <v>2026</v>
      </c>
      <c r="B50" s="32" t="s">
        <v>48</v>
      </c>
      <c r="C50" s="32" t="s">
        <v>1012</v>
      </c>
      <c r="D50" s="32" t="s">
        <v>1013</v>
      </c>
      <c r="E50" s="32" t="s">
        <v>61</v>
      </c>
    </row>
    <row r="51" spans="1:5" x14ac:dyDescent="0.2">
      <c r="A51" s="32">
        <v>2026</v>
      </c>
      <c r="B51" s="32" t="s">
        <v>48</v>
      </c>
      <c r="C51" s="32" t="s">
        <v>1014</v>
      </c>
      <c r="D51" s="32" t="s">
        <v>1015</v>
      </c>
      <c r="E51" s="32" t="s">
        <v>61</v>
      </c>
    </row>
    <row r="52" spans="1:5" x14ac:dyDescent="0.2">
      <c r="A52" s="32">
        <v>2026</v>
      </c>
      <c r="B52" s="32" t="s">
        <v>48</v>
      </c>
      <c r="C52" s="32" t="s">
        <v>1016</v>
      </c>
      <c r="D52" s="32" t="s">
        <v>1017</v>
      </c>
      <c r="E52" s="32" t="s">
        <v>61</v>
      </c>
    </row>
    <row r="53" spans="1:5" x14ac:dyDescent="0.2">
      <c r="A53" s="32">
        <v>2026</v>
      </c>
      <c r="B53" s="32" t="s">
        <v>48</v>
      </c>
      <c r="C53" s="32" t="s">
        <v>1018</v>
      </c>
      <c r="D53" s="32" t="s">
        <v>1019</v>
      </c>
      <c r="E53" s="32" t="s">
        <v>61</v>
      </c>
    </row>
    <row r="54" spans="1:5" x14ac:dyDescent="0.2">
      <c r="A54" s="32">
        <v>2026</v>
      </c>
      <c r="B54" s="32" t="s">
        <v>48</v>
      </c>
      <c r="C54" s="32" t="s">
        <v>1020</v>
      </c>
      <c r="D54" s="32" t="s">
        <v>1021</v>
      </c>
      <c r="E54" s="32" t="s">
        <v>61</v>
      </c>
    </row>
    <row r="55" spans="1:5" x14ac:dyDescent="0.2">
      <c r="A55" s="32">
        <v>2026</v>
      </c>
      <c r="B55" s="32" t="s">
        <v>48</v>
      </c>
      <c r="C55" s="32" t="s">
        <v>1022</v>
      </c>
      <c r="D55" s="32" t="s">
        <v>1023</v>
      </c>
      <c r="E55" s="32" t="s">
        <v>61</v>
      </c>
    </row>
    <row r="56" spans="1:5" x14ac:dyDescent="0.2">
      <c r="A56" s="32">
        <v>2026</v>
      </c>
      <c r="B56" s="32" t="s">
        <v>48</v>
      </c>
      <c r="C56" s="32" t="s">
        <v>1024</v>
      </c>
      <c r="D56" s="32" t="s">
        <v>1025</v>
      </c>
      <c r="E56" s="32" t="s">
        <v>61</v>
      </c>
    </row>
    <row r="57" spans="1:5" x14ac:dyDescent="0.2">
      <c r="A57" s="32">
        <v>2026</v>
      </c>
      <c r="B57" s="32" t="s">
        <v>48</v>
      </c>
      <c r="C57" s="32" t="s">
        <v>1026</v>
      </c>
      <c r="D57" s="32" t="s">
        <v>1027</v>
      </c>
      <c r="E57" s="32" t="s">
        <v>61</v>
      </c>
    </row>
    <row r="58" spans="1:5" x14ac:dyDescent="0.2">
      <c r="A58" s="32">
        <v>2026</v>
      </c>
      <c r="B58" s="32" t="s">
        <v>48</v>
      </c>
      <c r="C58" s="32" t="s">
        <v>1028</v>
      </c>
      <c r="D58" s="32" t="s">
        <v>1029</v>
      </c>
      <c r="E58" s="32" t="s">
        <v>61</v>
      </c>
    </row>
    <row r="59" spans="1:5" x14ac:dyDescent="0.2">
      <c r="A59" s="32">
        <v>2026</v>
      </c>
      <c r="B59" s="32" t="s">
        <v>48</v>
      </c>
      <c r="C59" s="32" t="s">
        <v>1030</v>
      </c>
      <c r="D59" s="32" t="s">
        <v>1031</v>
      </c>
      <c r="E59" s="32" t="s">
        <v>61</v>
      </c>
    </row>
    <row r="60" spans="1:5" x14ac:dyDescent="0.2">
      <c r="A60" s="32">
        <v>2026</v>
      </c>
      <c r="B60" s="32" t="s">
        <v>48</v>
      </c>
      <c r="C60" s="32" t="s">
        <v>1032</v>
      </c>
      <c r="D60" s="32" t="s">
        <v>1033</v>
      </c>
      <c r="E60" s="32" t="s">
        <v>61</v>
      </c>
    </row>
    <row r="61" spans="1:5" x14ac:dyDescent="0.2">
      <c r="A61" s="32">
        <v>2026</v>
      </c>
      <c r="B61" s="32" t="s">
        <v>48</v>
      </c>
      <c r="C61" s="32" t="s">
        <v>1034</v>
      </c>
      <c r="D61" s="32" t="s">
        <v>1035</v>
      </c>
      <c r="E61" s="32" t="s">
        <v>61</v>
      </c>
    </row>
    <row r="62" spans="1:5" x14ac:dyDescent="0.2">
      <c r="A62" s="32">
        <v>2026</v>
      </c>
      <c r="B62" s="32" t="s">
        <v>48</v>
      </c>
      <c r="C62" s="32" t="s">
        <v>1036</v>
      </c>
      <c r="D62" s="32" t="s">
        <v>1037</v>
      </c>
      <c r="E62" s="32" t="s">
        <v>61</v>
      </c>
    </row>
    <row r="63" spans="1:5" x14ac:dyDescent="0.2">
      <c r="A63" s="32">
        <v>2026</v>
      </c>
      <c r="B63" s="32" t="s">
        <v>48</v>
      </c>
      <c r="C63" s="32" t="s">
        <v>1038</v>
      </c>
      <c r="D63" s="32" t="s">
        <v>1039</v>
      </c>
      <c r="E63" s="32" t="s">
        <v>61</v>
      </c>
    </row>
    <row r="64" spans="1:5" x14ac:dyDescent="0.2">
      <c r="A64" s="32">
        <v>2026</v>
      </c>
      <c r="B64" s="32" t="s">
        <v>48</v>
      </c>
      <c r="C64" s="32" t="s">
        <v>1040</v>
      </c>
      <c r="D64" s="32" t="s">
        <v>1041</v>
      </c>
      <c r="E64" s="32" t="s">
        <v>61</v>
      </c>
    </row>
    <row r="65" spans="1:5" x14ac:dyDescent="0.2">
      <c r="A65" s="32">
        <v>2026</v>
      </c>
      <c r="B65" s="32" t="s">
        <v>48</v>
      </c>
      <c r="C65" s="32" t="s">
        <v>1042</v>
      </c>
      <c r="D65" s="32" t="s">
        <v>1043</v>
      </c>
      <c r="E65" s="32" t="s">
        <v>61</v>
      </c>
    </row>
    <row r="66" spans="1:5" ht="25.5" x14ac:dyDescent="0.2">
      <c r="A66" s="32">
        <v>2026</v>
      </c>
      <c r="B66" s="32" t="s">
        <v>48</v>
      </c>
      <c r="C66" s="32" t="s">
        <v>1044</v>
      </c>
      <c r="D66" s="32" t="s">
        <v>1045</v>
      </c>
      <c r="E66" s="32" t="s">
        <v>61</v>
      </c>
    </row>
    <row r="67" spans="1:5" x14ac:dyDescent="0.2">
      <c r="A67" s="32">
        <v>2026</v>
      </c>
      <c r="B67" s="32" t="s">
        <v>48</v>
      </c>
      <c r="C67" s="32" t="s">
        <v>1046</v>
      </c>
      <c r="D67" s="32" t="s">
        <v>1047</v>
      </c>
      <c r="E67" s="32" t="s">
        <v>61</v>
      </c>
    </row>
    <row r="68" spans="1:5" ht="25.5" x14ac:dyDescent="0.2">
      <c r="A68" s="32">
        <v>2026</v>
      </c>
      <c r="B68" s="32" t="s">
        <v>48</v>
      </c>
      <c r="C68" s="32" t="s">
        <v>1048</v>
      </c>
      <c r="D68" s="32" t="s">
        <v>1049</v>
      </c>
      <c r="E68" s="32" t="s">
        <v>61</v>
      </c>
    </row>
    <row r="69" spans="1:5" ht="25.5" x14ac:dyDescent="0.2">
      <c r="A69" s="32">
        <v>2026</v>
      </c>
      <c r="B69" s="32" t="s">
        <v>48</v>
      </c>
      <c r="C69" s="32" t="s">
        <v>1050</v>
      </c>
      <c r="D69" s="32" t="s">
        <v>1051</v>
      </c>
      <c r="E69" s="32" t="s">
        <v>61</v>
      </c>
    </row>
    <row r="70" spans="1:5" x14ac:dyDescent="0.2">
      <c r="A70" s="32">
        <v>2026</v>
      </c>
      <c r="B70" s="32" t="s">
        <v>48</v>
      </c>
      <c r="C70" s="32" t="s">
        <v>1052</v>
      </c>
      <c r="D70" s="32" t="s">
        <v>1053</v>
      </c>
      <c r="E70" s="32" t="s">
        <v>61</v>
      </c>
    </row>
    <row r="71" spans="1:5" x14ac:dyDescent="0.2">
      <c r="A71" s="32">
        <v>2026</v>
      </c>
      <c r="B71" s="32" t="s">
        <v>48</v>
      </c>
      <c r="C71" s="32" t="s">
        <v>1054</v>
      </c>
      <c r="D71" s="32" t="s">
        <v>1055</v>
      </c>
      <c r="E71" s="32" t="s">
        <v>61</v>
      </c>
    </row>
    <row r="72" spans="1:5" x14ac:dyDescent="0.2">
      <c r="A72" s="32">
        <v>2026</v>
      </c>
      <c r="B72" s="32" t="s">
        <v>48</v>
      </c>
      <c r="C72" s="32" t="s">
        <v>1056</v>
      </c>
      <c r="D72" s="32" t="s">
        <v>1057</v>
      </c>
      <c r="E72" s="32" t="s">
        <v>61</v>
      </c>
    </row>
    <row r="73" spans="1:5" x14ac:dyDescent="0.2">
      <c r="A73" s="32">
        <v>2026</v>
      </c>
      <c r="B73" s="32" t="s">
        <v>48</v>
      </c>
      <c r="C73" s="32" t="s">
        <v>1058</v>
      </c>
      <c r="D73" s="32" t="s">
        <v>1059</v>
      </c>
      <c r="E73" s="32" t="s">
        <v>61</v>
      </c>
    </row>
    <row r="74" spans="1:5" ht="25.5" x14ac:dyDescent="0.2">
      <c r="A74" s="32">
        <v>2026</v>
      </c>
      <c r="B74" s="32" t="s">
        <v>48</v>
      </c>
      <c r="C74" s="32" t="s">
        <v>1060</v>
      </c>
      <c r="D74" s="32" t="s">
        <v>1061</v>
      </c>
      <c r="E74" s="32" t="s">
        <v>61</v>
      </c>
    </row>
    <row r="75" spans="1:5" x14ac:dyDescent="0.2">
      <c r="A75" s="32">
        <v>2026</v>
      </c>
      <c r="B75" s="32" t="s">
        <v>48</v>
      </c>
      <c r="C75" s="32" t="s">
        <v>1062</v>
      </c>
      <c r="D75" s="32" t="s">
        <v>1063</v>
      </c>
      <c r="E75" s="32" t="s">
        <v>61</v>
      </c>
    </row>
    <row r="76" spans="1:5" x14ac:dyDescent="0.2">
      <c r="A76" s="32">
        <v>2026</v>
      </c>
      <c r="B76" s="32" t="s">
        <v>48</v>
      </c>
      <c r="C76" s="32" t="s">
        <v>1064</v>
      </c>
      <c r="D76" s="32" t="s">
        <v>1065</v>
      </c>
      <c r="E76" s="32" t="s">
        <v>61</v>
      </c>
    </row>
    <row r="77" spans="1:5" x14ac:dyDescent="0.2">
      <c r="A77" s="32">
        <v>2026</v>
      </c>
      <c r="B77" s="32" t="s">
        <v>48</v>
      </c>
      <c r="C77" s="32" t="s">
        <v>1066</v>
      </c>
      <c r="D77" s="32" t="s">
        <v>1067</v>
      </c>
      <c r="E77" s="32" t="s">
        <v>61</v>
      </c>
    </row>
    <row r="78" spans="1:5" x14ac:dyDescent="0.2">
      <c r="A78" s="32">
        <v>2026</v>
      </c>
      <c r="B78" s="32" t="s">
        <v>48</v>
      </c>
      <c r="C78" s="32" t="s">
        <v>1068</v>
      </c>
      <c r="D78" s="32" t="s">
        <v>1069</v>
      </c>
      <c r="E78" s="32" t="s">
        <v>61</v>
      </c>
    </row>
    <row r="79" spans="1:5" ht="25.5" x14ac:dyDescent="0.2">
      <c r="A79" s="32">
        <v>2026</v>
      </c>
      <c r="B79" s="32" t="s">
        <v>48</v>
      </c>
      <c r="C79" s="32" t="s">
        <v>1070</v>
      </c>
      <c r="D79" s="32" t="s">
        <v>1071</v>
      </c>
      <c r="E79" s="32" t="s">
        <v>61</v>
      </c>
    </row>
    <row r="80" spans="1:5" x14ac:dyDescent="0.2">
      <c r="A80" s="32">
        <v>2026</v>
      </c>
      <c r="B80" s="32" t="s">
        <v>48</v>
      </c>
      <c r="C80" s="32" t="s">
        <v>1072</v>
      </c>
      <c r="D80" s="32" t="s">
        <v>1073</v>
      </c>
      <c r="E80" s="32" t="s">
        <v>61</v>
      </c>
    </row>
    <row r="81" spans="1:5" x14ac:dyDescent="0.2">
      <c r="A81" s="32">
        <v>2026</v>
      </c>
      <c r="B81" s="32" t="s">
        <v>48</v>
      </c>
      <c r="C81" s="32" t="s">
        <v>1074</v>
      </c>
      <c r="D81" s="32" t="s">
        <v>1075</v>
      </c>
      <c r="E81" s="32" t="s">
        <v>61</v>
      </c>
    </row>
    <row r="82" spans="1:5" ht="25.5" x14ac:dyDescent="0.2">
      <c r="A82" s="32">
        <v>2026</v>
      </c>
      <c r="B82" s="32" t="s">
        <v>48</v>
      </c>
      <c r="C82" s="32" t="s">
        <v>1076</v>
      </c>
      <c r="D82" s="32" t="s">
        <v>1077</v>
      </c>
      <c r="E82" s="32" t="s">
        <v>61</v>
      </c>
    </row>
    <row r="83" spans="1:5" x14ac:dyDescent="0.2">
      <c r="A83" s="32">
        <v>2026</v>
      </c>
      <c r="B83" s="32" t="s">
        <v>48</v>
      </c>
      <c r="C83" s="32" t="s">
        <v>1078</v>
      </c>
      <c r="D83" s="32" t="s">
        <v>1079</v>
      </c>
      <c r="E83" s="32" t="s">
        <v>61</v>
      </c>
    </row>
    <row r="84" spans="1:5" x14ac:dyDescent="0.2">
      <c r="A84" s="32">
        <v>2026</v>
      </c>
      <c r="B84" s="32" t="s">
        <v>48</v>
      </c>
      <c r="C84" s="32" t="s">
        <v>1080</v>
      </c>
      <c r="D84" s="32" t="s">
        <v>1081</v>
      </c>
      <c r="E84" s="32" t="s">
        <v>61</v>
      </c>
    </row>
    <row r="85" spans="1:5" x14ac:dyDescent="0.2">
      <c r="A85" s="32">
        <v>2026</v>
      </c>
      <c r="B85" s="32" t="s">
        <v>48</v>
      </c>
      <c r="C85" s="32" t="s">
        <v>1082</v>
      </c>
      <c r="D85" s="32" t="s">
        <v>1083</v>
      </c>
      <c r="E85" s="32" t="s">
        <v>61</v>
      </c>
    </row>
    <row r="86" spans="1:5" ht="25.5" x14ac:dyDescent="0.2">
      <c r="A86" s="32">
        <v>2026</v>
      </c>
      <c r="B86" s="32" t="s">
        <v>48</v>
      </c>
      <c r="C86" s="32" t="s">
        <v>1084</v>
      </c>
      <c r="D86" s="32" t="s">
        <v>1085</v>
      </c>
      <c r="E86" s="32" t="s">
        <v>61</v>
      </c>
    </row>
    <row r="87" spans="1:5" x14ac:dyDescent="0.2">
      <c r="A87" s="32">
        <v>2026</v>
      </c>
      <c r="B87" s="32" t="s">
        <v>48</v>
      </c>
      <c r="C87" s="32" t="s">
        <v>1086</v>
      </c>
      <c r="D87" s="32" t="s">
        <v>1087</v>
      </c>
      <c r="E87" s="32" t="s">
        <v>61</v>
      </c>
    </row>
    <row r="88" spans="1:5" x14ac:dyDescent="0.2">
      <c r="A88" s="32">
        <v>2026</v>
      </c>
      <c r="B88" s="32" t="s">
        <v>48</v>
      </c>
      <c r="C88" s="32" t="s">
        <v>1088</v>
      </c>
      <c r="D88" s="32" t="s">
        <v>1089</v>
      </c>
      <c r="E88" s="32" t="s">
        <v>61</v>
      </c>
    </row>
    <row r="89" spans="1:5" x14ac:dyDescent="0.2">
      <c r="A89" s="32">
        <v>2026</v>
      </c>
      <c r="B89" s="32" t="s">
        <v>48</v>
      </c>
      <c r="C89" s="32" t="s">
        <v>1090</v>
      </c>
      <c r="D89" s="32" t="s">
        <v>1091</v>
      </c>
      <c r="E89" s="32" t="s">
        <v>61</v>
      </c>
    </row>
    <row r="90" spans="1:5" x14ac:dyDescent="0.2">
      <c r="A90" s="32">
        <v>2026</v>
      </c>
      <c r="B90" s="32" t="s">
        <v>48</v>
      </c>
      <c r="C90" s="32" t="s">
        <v>1092</v>
      </c>
      <c r="D90" s="32" t="s">
        <v>1093</v>
      </c>
      <c r="E90" s="32" t="s">
        <v>61</v>
      </c>
    </row>
    <row r="91" spans="1:5" x14ac:dyDescent="0.2">
      <c r="A91" s="32">
        <v>2026</v>
      </c>
      <c r="B91" s="32" t="s">
        <v>48</v>
      </c>
      <c r="C91" s="32" t="s">
        <v>1094</v>
      </c>
      <c r="D91" s="32" t="s">
        <v>1095</v>
      </c>
      <c r="E91" s="32" t="s">
        <v>61</v>
      </c>
    </row>
    <row r="92" spans="1:5" x14ac:dyDescent="0.2">
      <c r="A92" s="32">
        <v>2026</v>
      </c>
      <c r="B92" s="32" t="s">
        <v>48</v>
      </c>
      <c r="C92" s="32" t="s">
        <v>1096</v>
      </c>
      <c r="D92" s="32" t="s">
        <v>1097</v>
      </c>
      <c r="E92" s="32" t="s">
        <v>61</v>
      </c>
    </row>
    <row r="93" spans="1:5" x14ac:dyDescent="0.2">
      <c r="A93" s="32">
        <v>2026</v>
      </c>
      <c r="B93" s="32" t="s">
        <v>48</v>
      </c>
      <c r="C93" s="32" t="s">
        <v>1098</v>
      </c>
      <c r="D93" s="32" t="s">
        <v>1099</v>
      </c>
      <c r="E93" s="32" t="s">
        <v>61</v>
      </c>
    </row>
    <row r="94" spans="1:5" x14ac:dyDescent="0.2">
      <c r="A94" s="32">
        <v>2026</v>
      </c>
      <c r="B94" s="32" t="s">
        <v>48</v>
      </c>
      <c r="C94" s="32" t="s">
        <v>1100</v>
      </c>
      <c r="D94" s="32" t="s">
        <v>1101</v>
      </c>
      <c r="E94" s="32" t="s">
        <v>61</v>
      </c>
    </row>
    <row r="95" spans="1:5" x14ac:dyDescent="0.2">
      <c r="A95" s="32">
        <v>2026</v>
      </c>
      <c r="B95" s="32" t="s">
        <v>48</v>
      </c>
      <c r="C95" s="32" t="s">
        <v>1102</v>
      </c>
      <c r="D95" s="32" t="s">
        <v>1103</v>
      </c>
      <c r="E95" s="32" t="s">
        <v>61</v>
      </c>
    </row>
    <row r="96" spans="1:5" ht="25.5" x14ac:dyDescent="0.2">
      <c r="A96" s="32">
        <v>2026</v>
      </c>
      <c r="B96" s="32" t="s">
        <v>48</v>
      </c>
      <c r="C96" s="32" t="s">
        <v>1104</v>
      </c>
      <c r="D96" s="32" t="s">
        <v>1105</v>
      </c>
      <c r="E96" s="32" t="s">
        <v>61</v>
      </c>
    </row>
    <row r="97" spans="1:5" ht="25.5" x14ac:dyDescent="0.2">
      <c r="A97" s="32">
        <v>2026</v>
      </c>
      <c r="B97" s="32" t="s">
        <v>48</v>
      </c>
      <c r="C97" s="32" t="s">
        <v>1106</v>
      </c>
      <c r="D97" s="32" t="s">
        <v>1107</v>
      </c>
      <c r="E97" s="32" t="s">
        <v>61</v>
      </c>
    </row>
    <row r="98" spans="1:5" x14ac:dyDescent="0.2">
      <c r="A98" s="32">
        <v>2026</v>
      </c>
      <c r="B98" s="32" t="s">
        <v>48</v>
      </c>
      <c r="C98" s="32" t="s">
        <v>1108</v>
      </c>
      <c r="D98" s="32" t="s">
        <v>1109</v>
      </c>
      <c r="E98" s="32" t="s">
        <v>61</v>
      </c>
    </row>
    <row r="99" spans="1:5" x14ac:dyDescent="0.2">
      <c r="A99" s="32">
        <v>2026</v>
      </c>
      <c r="B99" s="32" t="s">
        <v>48</v>
      </c>
      <c r="C99" s="32" t="s">
        <v>1110</v>
      </c>
      <c r="D99" s="32" t="s">
        <v>1111</v>
      </c>
      <c r="E99" s="32" t="s">
        <v>61</v>
      </c>
    </row>
    <row r="100" spans="1:5" x14ac:dyDescent="0.2">
      <c r="A100" s="32">
        <v>2026</v>
      </c>
      <c r="B100" s="32" t="s">
        <v>48</v>
      </c>
      <c r="C100" s="32" t="s">
        <v>1112</v>
      </c>
      <c r="D100" s="32" t="s">
        <v>1113</v>
      </c>
      <c r="E100" s="32" t="s">
        <v>61</v>
      </c>
    </row>
    <row r="101" spans="1:5" x14ac:dyDescent="0.2">
      <c r="A101" s="32">
        <v>2026</v>
      </c>
      <c r="B101" s="32" t="s">
        <v>48</v>
      </c>
      <c r="C101" s="32" t="s">
        <v>1114</v>
      </c>
      <c r="D101" s="32" t="s">
        <v>1115</v>
      </c>
      <c r="E101" s="32" t="s">
        <v>61</v>
      </c>
    </row>
    <row r="102" spans="1:5" x14ac:dyDescent="0.2">
      <c r="A102" s="32">
        <v>2026</v>
      </c>
      <c r="B102" s="32" t="s">
        <v>48</v>
      </c>
      <c r="C102" s="32" t="s">
        <v>1116</v>
      </c>
      <c r="D102" s="32" t="s">
        <v>1117</v>
      </c>
      <c r="E102" s="32" t="s">
        <v>61</v>
      </c>
    </row>
    <row r="103" spans="1:5" x14ac:dyDescent="0.2">
      <c r="A103" s="32">
        <v>2026</v>
      </c>
      <c r="B103" s="32" t="s">
        <v>48</v>
      </c>
      <c r="C103" s="32" t="s">
        <v>1118</v>
      </c>
      <c r="D103" s="32" t="s">
        <v>1119</v>
      </c>
      <c r="E103" s="32" t="s">
        <v>61</v>
      </c>
    </row>
    <row r="104" spans="1:5" x14ac:dyDescent="0.2">
      <c r="A104" s="32">
        <v>2026</v>
      </c>
      <c r="B104" s="32" t="s">
        <v>48</v>
      </c>
      <c r="C104" s="32" t="s">
        <v>1120</v>
      </c>
      <c r="D104" s="32" t="s">
        <v>1121</v>
      </c>
      <c r="E104" s="32" t="s">
        <v>61</v>
      </c>
    </row>
    <row r="105" spans="1:5" x14ac:dyDescent="0.2">
      <c r="A105" s="32">
        <v>2026</v>
      </c>
      <c r="B105" s="32" t="s">
        <v>48</v>
      </c>
      <c r="C105" s="32" t="s">
        <v>1122</v>
      </c>
      <c r="D105" s="32" t="s">
        <v>1123</v>
      </c>
      <c r="E105" s="32" t="s">
        <v>61</v>
      </c>
    </row>
    <row r="106" spans="1:5" x14ac:dyDescent="0.2">
      <c r="A106" s="32">
        <v>2026</v>
      </c>
      <c r="B106" s="32" t="s">
        <v>48</v>
      </c>
      <c r="C106" s="32" t="s">
        <v>1124</v>
      </c>
      <c r="D106" s="32" t="s">
        <v>1125</v>
      </c>
      <c r="E106" s="32" t="s">
        <v>61</v>
      </c>
    </row>
    <row r="107" spans="1:5" x14ac:dyDescent="0.2">
      <c r="A107" s="32">
        <v>2026</v>
      </c>
      <c r="B107" s="32" t="s">
        <v>48</v>
      </c>
      <c r="C107" s="32" t="s">
        <v>1126</v>
      </c>
      <c r="D107" s="32" t="s">
        <v>1127</v>
      </c>
      <c r="E107" s="32" t="s">
        <v>61</v>
      </c>
    </row>
    <row r="108" spans="1:5" x14ac:dyDescent="0.2">
      <c r="A108" s="32">
        <v>2026</v>
      </c>
      <c r="B108" s="32" t="s">
        <v>48</v>
      </c>
      <c r="C108" s="32" t="s">
        <v>1128</v>
      </c>
      <c r="D108" s="32" t="s">
        <v>1129</v>
      </c>
      <c r="E108" s="32" t="s">
        <v>61</v>
      </c>
    </row>
    <row r="109" spans="1:5" x14ac:dyDescent="0.2">
      <c r="A109" s="32">
        <v>2026</v>
      </c>
      <c r="B109" s="32" t="s">
        <v>48</v>
      </c>
      <c r="C109" s="32" t="s">
        <v>1130</v>
      </c>
      <c r="D109" s="32" t="s">
        <v>1131</v>
      </c>
      <c r="E109" s="32" t="s">
        <v>61</v>
      </c>
    </row>
    <row r="110" spans="1:5" x14ac:dyDescent="0.2">
      <c r="A110" s="32">
        <v>2026</v>
      </c>
      <c r="B110" s="32" t="s">
        <v>48</v>
      </c>
      <c r="C110" s="32" t="s">
        <v>1132</v>
      </c>
      <c r="D110" s="32" t="s">
        <v>1133</v>
      </c>
      <c r="E110" s="32" t="s">
        <v>61</v>
      </c>
    </row>
    <row r="111" spans="1:5" x14ac:dyDescent="0.2">
      <c r="A111" s="32">
        <v>2026</v>
      </c>
      <c r="B111" s="32" t="s">
        <v>48</v>
      </c>
      <c r="C111" s="32" t="s">
        <v>1134</v>
      </c>
      <c r="D111" s="32" t="s">
        <v>1135</v>
      </c>
      <c r="E111" s="32" t="s">
        <v>61</v>
      </c>
    </row>
    <row r="112" spans="1:5" x14ac:dyDescent="0.2">
      <c r="A112" s="32">
        <v>2026</v>
      </c>
      <c r="B112" s="32" t="s">
        <v>48</v>
      </c>
      <c r="C112" s="32" t="s">
        <v>1136</v>
      </c>
      <c r="D112" s="32" t="s">
        <v>1137</v>
      </c>
      <c r="E112" s="32" t="s">
        <v>61</v>
      </c>
    </row>
    <row r="113" spans="1:5" x14ac:dyDescent="0.2">
      <c r="A113" s="32">
        <v>2026</v>
      </c>
      <c r="B113" s="32" t="s">
        <v>48</v>
      </c>
      <c r="C113" s="32" t="s">
        <v>1138</v>
      </c>
      <c r="D113" s="32" t="s">
        <v>1139</v>
      </c>
      <c r="E113" s="32" t="s">
        <v>61</v>
      </c>
    </row>
    <row r="114" spans="1:5" x14ac:dyDescent="0.2">
      <c r="A114" s="32">
        <v>2026</v>
      </c>
      <c r="B114" s="32" t="s">
        <v>48</v>
      </c>
      <c r="C114" s="32" t="s">
        <v>1140</v>
      </c>
      <c r="D114" s="32" t="s">
        <v>1141</v>
      </c>
      <c r="E114" s="32" t="s">
        <v>61</v>
      </c>
    </row>
    <row r="115" spans="1:5" x14ac:dyDescent="0.2">
      <c r="A115" s="35">
        <v>2026</v>
      </c>
      <c r="B115" s="35" t="s">
        <v>48</v>
      </c>
      <c r="C115" s="35" t="s">
        <v>49</v>
      </c>
      <c r="D115" s="35" t="s">
        <v>50</v>
      </c>
      <c r="E115" s="35" t="s">
        <v>61</v>
      </c>
    </row>
    <row r="116" spans="1:5" x14ac:dyDescent="0.2">
      <c r="A116" s="32">
        <v>2026</v>
      </c>
      <c r="B116" s="32" t="s">
        <v>48</v>
      </c>
      <c r="C116" s="32" t="s">
        <v>1142</v>
      </c>
      <c r="D116" s="32" t="s">
        <v>1143</v>
      </c>
      <c r="E116" s="32" t="s">
        <v>61</v>
      </c>
    </row>
    <row r="117" spans="1:5" x14ac:dyDescent="0.2">
      <c r="A117" s="32">
        <v>2026</v>
      </c>
      <c r="B117" s="32" t="s">
        <v>48</v>
      </c>
      <c r="C117" s="32" t="s">
        <v>1144</v>
      </c>
      <c r="D117" s="32" t="s">
        <v>1145</v>
      </c>
      <c r="E117" s="32" t="s">
        <v>61</v>
      </c>
    </row>
    <row r="118" spans="1:5" ht="25.5" x14ac:dyDescent="0.2">
      <c r="A118" s="32">
        <v>2026</v>
      </c>
      <c r="B118" s="32" t="s">
        <v>48</v>
      </c>
      <c r="C118" s="32" t="s">
        <v>1146</v>
      </c>
      <c r="D118" s="32" t="s">
        <v>1147</v>
      </c>
      <c r="E118" s="32" t="s">
        <v>61</v>
      </c>
    </row>
    <row r="119" spans="1:5" ht="25.5" x14ac:dyDescent="0.2">
      <c r="A119" s="32">
        <v>2026</v>
      </c>
      <c r="B119" s="32" t="s">
        <v>48</v>
      </c>
      <c r="C119" s="32" t="s">
        <v>1148</v>
      </c>
      <c r="D119" s="32" t="s">
        <v>1149</v>
      </c>
      <c r="E119" s="32" t="s">
        <v>61</v>
      </c>
    </row>
    <row r="120" spans="1:5" ht="25.5" x14ac:dyDescent="0.2">
      <c r="A120" s="32">
        <v>2026</v>
      </c>
      <c r="B120" s="32" t="s">
        <v>48</v>
      </c>
      <c r="C120" s="32" t="s">
        <v>1150</v>
      </c>
      <c r="D120" s="32" t="s">
        <v>1151</v>
      </c>
      <c r="E120" s="32" t="s">
        <v>61</v>
      </c>
    </row>
    <row r="121" spans="1:5" ht="25.5" x14ac:dyDescent="0.2">
      <c r="A121" s="32">
        <v>2026</v>
      </c>
      <c r="B121" s="32" t="s">
        <v>48</v>
      </c>
      <c r="C121" s="32" t="s">
        <v>1152</v>
      </c>
      <c r="D121" s="32" t="s">
        <v>1153</v>
      </c>
      <c r="E121" s="32" t="s">
        <v>61</v>
      </c>
    </row>
    <row r="122" spans="1:5" ht="25.5" x14ac:dyDescent="0.2">
      <c r="A122" s="32">
        <v>2026</v>
      </c>
      <c r="B122" s="32" t="s">
        <v>48</v>
      </c>
      <c r="C122" s="32" t="s">
        <v>1154</v>
      </c>
      <c r="D122" s="32" t="s">
        <v>1155</v>
      </c>
      <c r="E122" s="32" t="s">
        <v>61</v>
      </c>
    </row>
    <row r="123" spans="1:5" ht="25.5" x14ac:dyDescent="0.2">
      <c r="A123" s="32">
        <v>2026</v>
      </c>
      <c r="B123" s="32" t="s">
        <v>48</v>
      </c>
      <c r="C123" s="32" t="s">
        <v>1156</v>
      </c>
      <c r="D123" s="32" t="s">
        <v>1157</v>
      </c>
      <c r="E123" s="32" t="s">
        <v>61</v>
      </c>
    </row>
    <row r="124" spans="1:5" ht="25.5" x14ac:dyDescent="0.2">
      <c r="A124" s="32">
        <v>2026</v>
      </c>
      <c r="B124" s="32" t="s">
        <v>48</v>
      </c>
      <c r="C124" s="32" t="s">
        <v>1158</v>
      </c>
      <c r="D124" s="32" t="s">
        <v>1159</v>
      </c>
      <c r="E124" s="32" t="s">
        <v>61</v>
      </c>
    </row>
    <row r="125" spans="1:5" ht="25.5" x14ac:dyDescent="0.2">
      <c r="A125" s="32">
        <v>2026</v>
      </c>
      <c r="B125" s="32" t="s">
        <v>48</v>
      </c>
      <c r="C125" s="32" t="s">
        <v>1160</v>
      </c>
      <c r="D125" s="32" t="s">
        <v>1161</v>
      </c>
      <c r="E125" s="32" t="s">
        <v>61</v>
      </c>
    </row>
    <row r="126" spans="1:5" ht="25.5" x14ac:dyDescent="0.2">
      <c r="A126" s="32">
        <v>2026</v>
      </c>
      <c r="B126" s="32" t="s">
        <v>48</v>
      </c>
      <c r="C126" s="32" t="s">
        <v>1162</v>
      </c>
      <c r="D126" s="32" t="s">
        <v>1163</v>
      </c>
      <c r="E126" s="32" t="s">
        <v>61</v>
      </c>
    </row>
    <row r="127" spans="1:5" ht="25.5" x14ac:dyDescent="0.2">
      <c r="A127" s="32">
        <v>2026</v>
      </c>
      <c r="B127" s="32" t="s">
        <v>48</v>
      </c>
      <c r="C127" s="32" t="s">
        <v>1164</v>
      </c>
      <c r="D127" s="32" t="s">
        <v>1165</v>
      </c>
      <c r="E127" s="32" t="s">
        <v>61</v>
      </c>
    </row>
    <row r="128" spans="1:5" ht="25.5" x14ac:dyDescent="0.2">
      <c r="A128" s="32">
        <v>2026</v>
      </c>
      <c r="B128" s="32" t="s">
        <v>48</v>
      </c>
      <c r="C128" s="32" t="s">
        <v>1166</v>
      </c>
      <c r="D128" s="32" t="s">
        <v>1167</v>
      </c>
      <c r="E128" s="32" t="s">
        <v>61</v>
      </c>
    </row>
    <row r="129" spans="1:5" x14ac:dyDescent="0.2">
      <c r="A129" s="32">
        <v>2026</v>
      </c>
      <c r="B129" s="32" t="s">
        <v>48</v>
      </c>
      <c r="C129" s="32" t="s">
        <v>1168</v>
      </c>
      <c r="D129" s="32" t="s">
        <v>1169</v>
      </c>
      <c r="E129" s="32" t="s">
        <v>61</v>
      </c>
    </row>
    <row r="130" spans="1:5" ht="25.5" x14ac:dyDescent="0.2">
      <c r="A130" s="32">
        <v>2026</v>
      </c>
      <c r="B130" s="32" t="s">
        <v>48</v>
      </c>
      <c r="C130" s="32" t="s">
        <v>1170</v>
      </c>
      <c r="D130" s="32" t="s">
        <v>1171</v>
      </c>
      <c r="E130" s="32" t="s">
        <v>61</v>
      </c>
    </row>
    <row r="131" spans="1:5" x14ac:dyDescent="0.2">
      <c r="A131" s="32">
        <v>2026</v>
      </c>
      <c r="B131" s="32" t="s">
        <v>48</v>
      </c>
      <c r="C131" s="32" t="s">
        <v>1172</v>
      </c>
      <c r="D131" s="32" t="s">
        <v>1173</v>
      </c>
      <c r="E131" s="32" t="s">
        <v>61</v>
      </c>
    </row>
    <row r="132" spans="1:5" x14ac:dyDescent="0.2">
      <c r="A132" s="32">
        <v>2026</v>
      </c>
      <c r="B132" s="32" t="s">
        <v>48</v>
      </c>
      <c r="C132" s="32" t="s">
        <v>1174</v>
      </c>
      <c r="D132" s="32" t="s">
        <v>1175</v>
      </c>
      <c r="E132" s="32" t="s">
        <v>61</v>
      </c>
    </row>
    <row r="133" spans="1:5" ht="25.5" x14ac:dyDescent="0.2">
      <c r="A133" s="32">
        <v>2026</v>
      </c>
      <c r="B133" s="32" t="s">
        <v>48</v>
      </c>
      <c r="C133" s="32" t="s">
        <v>1176</v>
      </c>
      <c r="D133" s="32" t="s">
        <v>1177</v>
      </c>
      <c r="E133" s="32" t="s">
        <v>61</v>
      </c>
    </row>
    <row r="134" spans="1:5" ht="25.5" x14ac:dyDescent="0.2">
      <c r="A134" s="32">
        <v>2026</v>
      </c>
      <c r="B134" s="32" t="s">
        <v>48</v>
      </c>
      <c r="C134" s="32" t="s">
        <v>1178</v>
      </c>
      <c r="D134" s="32" t="s">
        <v>1179</v>
      </c>
      <c r="E134" s="32" t="s">
        <v>61</v>
      </c>
    </row>
    <row r="135" spans="1:5" ht="25.5" x14ac:dyDescent="0.2">
      <c r="A135" s="32">
        <v>2026</v>
      </c>
      <c r="B135" s="32" t="s">
        <v>48</v>
      </c>
      <c r="C135" s="32" t="s">
        <v>1180</v>
      </c>
      <c r="D135" s="32" t="s">
        <v>1181</v>
      </c>
      <c r="E135" s="32" t="s">
        <v>61</v>
      </c>
    </row>
    <row r="136" spans="1:5" x14ac:dyDescent="0.2">
      <c r="A136" s="32">
        <v>2026</v>
      </c>
      <c r="B136" s="32" t="s">
        <v>48</v>
      </c>
      <c r="C136" s="32" t="s">
        <v>1182</v>
      </c>
      <c r="D136" s="32" t="s">
        <v>1183</v>
      </c>
      <c r="E136" s="32" t="s">
        <v>61</v>
      </c>
    </row>
    <row r="137" spans="1:5" x14ac:dyDescent="0.2">
      <c r="A137" s="32">
        <v>2026</v>
      </c>
      <c r="B137" s="32" t="s">
        <v>48</v>
      </c>
      <c r="C137" s="32" t="s">
        <v>1184</v>
      </c>
      <c r="D137" s="32" t="s">
        <v>1185</v>
      </c>
      <c r="E137" s="32" t="s">
        <v>61</v>
      </c>
    </row>
    <row r="138" spans="1:5" ht="25.5" x14ac:dyDescent="0.2">
      <c r="A138" s="32">
        <v>2026</v>
      </c>
      <c r="B138" s="32" t="s">
        <v>48</v>
      </c>
      <c r="C138" s="32" t="s">
        <v>1186</v>
      </c>
      <c r="D138" s="32" t="s">
        <v>1187</v>
      </c>
      <c r="E138" s="32" t="s">
        <v>61</v>
      </c>
    </row>
    <row r="139" spans="1:5" ht="25.5" x14ac:dyDescent="0.2">
      <c r="A139" s="32">
        <v>2026</v>
      </c>
      <c r="B139" s="32" t="s">
        <v>48</v>
      </c>
      <c r="C139" s="32" t="s">
        <v>1188</v>
      </c>
      <c r="D139" s="32" t="s">
        <v>1189</v>
      </c>
      <c r="E139" s="32" t="s">
        <v>61</v>
      </c>
    </row>
    <row r="140" spans="1:5" ht="25.5" x14ac:dyDescent="0.2">
      <c r="A140" s="32">
        <v>2026</v>
      </c>
      <c r="B140" s="32" t="s">
        <v>48</v>
      </c>
      <c r="C140" s="32" t="s">
        <v>1190</v>
      </c>
      <c r="D140" s="32" t="s">
        <v>1191</v>
      </c>
      <c r="E140" s="32" t="s">
        <v>61</v>
      </c>
    </row>
    <row r="141" spans="1:5" ht="25.5" x14ac:dyDescent="0.2">
      <c r="A141" s="32">
        <v>2026</v>
      </c>
      <c r="B141" s="32" t="s">
        <v>48</v>
      </c>
      <c r="C141" s="32" t="s">
        <v>1192</v>
      </c>
      <c r="D141" s="32" t="s">
        <v>1193</v>
      </c>
      <c r="E141" s="32" t="s">
        <v>61</v>
      </c>
    </row>
    <row r="142" spans="1:5" ht="25.5" x14ac:dyDescent="0.2">
      <c r="A142" s="32">
        <v>2026</v>
      </c>
      <c r="B142" s="32" t="s">
        <v>48</v>
      </c>
      <c r="C142" s="32" t="s">
        <v>1194</v>
      </c>
      <c r="D142" s="32" t="s">
        <v>1195</v>
      </c>
      <c r="E142" s="32" t="s">
        <v>61</v>
      </c>
    </row>
    <row r="143" spans="1:5" ht="25.5" x14ac:dyDescent="0.2">
      <c r="A143" s="32">
        <v>2026</v>
      </c>
      <c r="B143" s="32" t="s">
        <v>48</v>
      </c>
      <c r="C143" s="32" t="s">
        <v>1196</v>
      </c>
      <c r="D143" s="32" t="s">
        <v>1197</v>
      </c>
      <c r="E143" s="32" t="s">
        <v>61</v>
      </c>
    </row>
    <row r="144" spans="1:5" ht="25.5" x14ac:dyDescent="0.2">
      <c r="A144" s="32">
        <v>2026</v>
      </c>
      <c r="B144" s="32" t="s">
        <v>48</v>
      </c>
      <c r="C144" s="32" t="s">
        <v>1198</v>
      </c>
      <c r="D144" s="32" t="s">
        <v>1199</v>
      </c>
      <c r="E144" s="32" t="s">
        <v>61</v>
      </c>
    </row>
    <row r="145" spans="1:5" ht="25.5" x14ac:dyDescent="0.2">
      <c r="A145" s="32">
        <v>2026</v>
      </c>
      <c r="B145" s="32" t="s">
        <v>48</v>
      </c>
      <c r="C145" s="32" t="s">
        <v>1200</v>
      </c>
      <c r="D145" s="32" t="s">
        <v>1201</v>
      </c>
      <c r="E145" s="32" t="s">
        <v>61</v>
      </c>
    </row>
    <row r="146" spans="1:5" ht="25.5" x14ac:dyDescent="0.2">
      <c r="A146" s="32">
        <v>2026</v>
      </c>
      <c r="B146" s="32" t="s">
        <v>48</v>
      </c>
      <c r="C146" s="32" t="s">
        <v>1202</v>
      </c>
      <c r="D146" s="32" t="s">
        <v>1203</v>
      </c>
      <c r="E146" s="32" t="s">
        <v>61</v>
      </c>
    </row>
    <row r="147" spans="1:5" ht="25.5" x14ac:dyDescent="0.2">
      <c r="A147" s="32">
        <v>2026</v>
      </c>
      <c r="B147" s="32" t="s">
        <v>48</v>
      </c>
      <c r="C147" s="32" t="s">
        <v>1204</v>
      </c>
      <c r="D147" s="32" t="s">
        <v>1205</v>
      </c>
      <c r="E147" s="32" t="s">
        <v>61</v>
      </c>
    </row>
    <row r="148" spans="1:5" ht="25.5" x14ac:dyDescent="0.2">
      <c r="A148" s="32">
        <v>2026</v>
      </c>
      <c r="B148" s="32" t="s">
        <v>48</v>
      </c>
      <c r="C148" s="32" t="s">
        <v>1206</v>
      </c>
      <c r="D148" s="32" t="s">
        <v>1207</v>
      </c>
      <c r="E148" s="32" t="s">
        <v>61</v>
      </c>
    </row>
    <row r="149" spans="1:5" ht="25.5" x14ac:dyDescent="0.2">
      <c r="A149" s="32">
        <v>2026</v>
      </c>
      <c r="B149" s="32" t="s">
        <v>48</v>
      </c>
      <c r="C149" s="32" t="s">
        <v>1208</v>
      </c>
      <c r="D149" s="32" t="s">
        <v>1209</v>
      </c>
      <c r="E149" s="32" t="s">
        <v>61</v>
      </c>
    </row>
    <row r="150" spans="1:5" ht="25.5" x14ac:dyDescent="0.2">
      <c r="A150" s="32">
        <v>2026</v>
      </c>
      <c r="B150" s="32" t="s">
        <v>48</v>
      </c>
      <c r="C150" s="32" t="s">
        <v>1210</v>
      </c>
      <c r="D150" s="32" t="s">
        <v>1211</v>
      </c>
      <c r="E150" s="32" t="s">
        <v>61</v>
      </c>
    </row>
    <row r="151" spans="1:5" ht="25.5" x14ac:dyDescent="0.2">
      <c r="A151" s="32">
        <v>2026</v>
      </c>
      <c r="B151" s="32" t="s">
        <v>48</v>
      </c>
      <c r="C151" s="32" t="s">
        <v>1212</v>
      </c>
      <c r="D151" s="32" t="s">
        <v>1213</v>
      </c>
      <c r="E151" s="32" t="s">
        <v>61</v>
      </c>
    </row>
    <row r="152" spans="1:5" ht="25.5" x14ac:dyDescent="0.2">
      <c r="A152" s="32">
        <v>2026</v>
      </c>
      <c r="B152" s="32" t="s">
        <v>48</v>
      </c>
      <c r="C152" s="32" t="s">
        <v>1214</v>
      </c>
      <c r="D152" s="32" t="s">
        <v>1215</v>
      </c>
      <c r="E152" s="32" t="s">
        <v>61</v>
      </c>
    </row>
    <row r="153" spans="1:5" x14ac:dyDescent="0.2">
      <c r="A153" s="32">
        <v>2026</v>
      </c>
      <c r="B153" s="32" t="s">
        <v>48</v>
      </c>
      <c r="C153" s="32" t="s">
        <v>1216</v>
      </c>
      <c r="D153" s="32" t="s">
        <v>1217</v>
      </c>
      <c r="E153" s="32" t="s">
        <v>61</v>
      </c>
    </row>
    <row r="154" spans="1:5" x14ac:dyDescent="0.2">
      <c r="A154" s="32">
        <v>2026</v>
      </c>
      <c r="B154" s="32" t="s">
        <v>48</v>
      </c>
      <c r="C154" s="32" t="s">
        <v>1218</v>
      </c>
      <c r="D154" s="32" t="s">
        <v>1219</v>
      </c>
      <c r="E154" s="32" t="s">
        <v>61</v>
      </c>
    </row>
    <row r="155" spans="1:5" x14ac:dyDescent="0.2">
      <c r="A155" s="32">
        <v>2026</v>
      </c>
      <c r="B155" s="32" t="s">
        <v>48</v>
      </c>
      <c r="C155" s="32" t="s">
        <v>1220</v>
      </c>
      <c r="D155" s="32" t="s">
        <v>1221</v>
      </c>
      <c r="E155" s="32" t="s">
        <v>61</v>
      </c>
    </row>
    <row r="156" spans="1:5" x14ac:dyDescent="0.2">
      <c r="A156" s="32">
        <v>2026</v>
      </c>
      <c r="B156" s="32" t="s">
        <v>48</v>
      </c>
      <c r="C156" s="32" t="s">
        <v>1222</v>
      </c>
      <c r="D156" s="32" t="s">
        <v>1223</v>
      </c>
      <c r="E156" s="32" t="s">
        <v>61</v>
      </c>
    </row>
    <row r="157" spans="1:5" x14ac:dyDescent="0.2">
      <c r="A157" s="32">
        <v>2026</v>
      </c>
      <c r="B157" s="32" t="s">
        <v>48</v>
      </c>
      <c r="C157" s="32" t="s">
        <v>1224</v>
      </c>
      <c r="D157" s="32" t="s">
        <v>1225</v>
      </c>
      <c r="E157" s="32" t="s">
        <v>61</v>
      </c>
    </row>
    <row r="158" spans="1:5" x14ac:dyDescent="0.2">
      <c r="A158" s="32">
        <v>2026</v>
      </c>
      <c r="B158" s="32" t="s">
        <v>48</v>
      </c>
      <c r="C158" s="32" t="s">
        <v>1226</v>
      </c>
      <c r="D158" s="32" t="s">
        <v>1227</v>
      </c>
      <c r="E158" s="32" t="s">
        <v>61</v>
      </c>
    </row>
    <row r="159" spans="1:5" x14ac:dyDescent="0.2">
      <c r="A159" s="32">
        <v>2026</v>
      </c>
      <c r="B159" s="32" t="s">
        <v>48</v>
      </c>
      <c r="C159" s="32" t="s">
        <v>1228</v>
      </c>
      <c r="D159" s="32" t="s">
        <v>1229</v>
      </c>
      <c r="E159" s="32" t="s">
        <v>61</v>
      </c>
    </row>
    <row r="160" spans="1:5" x14ac:dyDescent="0.2">
      <c r="A160" s="32">
        <v>2026</v>
      </c>
      <c r="B160" s="32" t="s">
        <v>48</v>
      </c>
      <c r="C160" s="32" t="s">
        <v>1230</v>
      </c>
      <c r="D160" s="32" t="s">
        <v>1231</v>
      </c>
      <c r="E160" s="32" t="s">
        <v>61</v>
      </c>
    </row>
    <row r="161" spans="1:5" x14ac:dyDescent="0.2">
      <c r="A161" s="32">
        <v>2026</v>
      </c>
      <c r="B161" s="32" t="s">
        <v>48</v>
      </c>
      <c r="C161" s="32" t="s">
        <v>1232</v>
      </c>
      <c r="D161" s="32" t="s">
        <v>1233</v>
      </c>
      <c r="E161" s="32" t="s">
        <v>61</v>
      </c>
    </row>
    <row r="162" spans="1:5" x14ac:dyDescent="0.2">
      <c r="A162" s="32">
        <v>2026</v>
      </c>
      <c r="B162" s="32" t="s">
        <v>48</v>
      </c>
      <c r="C162" s="32" t="s">
        <v>1234</v>
      </c>
      <c r="D162" s="32" t="s">
        <v>1235</v>
      </c>
      <c r="E162" s="32" t="s">
        <v>61</v>
      </c>
    </row>
    <row r="163" spans="1:5" ht="25.5" x14ac:dyDescent="0.2">
      <c r="A163" s="32">
        <v>2026</v>
      </c>
      <c r="B163" s="32" t="s">
        <v>48</v>
      </c>
      <c r="C163" s="32" t="s">
        <v>1236</v>
      </c>
      <c r="D163" s="32" t="s">
        <v>1237</v>
      </c>
      <c r="E163" s="32" t="s">
        <v>61</v>
      </c>
    </row>
    <row r="164" spans="1:5" ht="25.5" x14ac:dyDescent="0.2">
      <c r="A164" s="32">
        <v>2026</v>
      </c>
      <c r="B164" s="32" t="s">
        <v>48</v>
      </c>
      <c r="C164" s="32" t="s">
        <v>1238</v>
      </c>
      <c r="D164" s="32" t="s">
        <v>1239</v>
      </c>
      <c r="E164" s="32" t="s">
        <v>61</v>
      </c>
    </row>
    <row r="165" spans="1:5" x14ac:dyDescent="0.2">
      <c r="A165" s="32">
        <v>2026</v>
      </c>
      <c r="B165" s="32" t="s">
        <v>48</v>
      </c>
      <c r="C165" s="32" t="s">
        <v>1240</v>
      </c>
      <c r="D165" s="32" t="s">
        <v>1241</v>
      </c>
      <c r="E165" s="32" t="s">
        <v>61</v>
      </c>
    </row>
    <row r="166" spans="1:5" x14ac:dyDescent="0.2">
      <c r="A166" s="32">
        <v>2026</v>
      </c>
      <c r="B166" s="32" t="s">
        <v>48</v>
      </c>
      <c r="C166" s="32" t="s">
        <v>1242</v>
      </c>
      <c r="D166" s="32" t="s">
        <v>1243</v>
      </c>
      <c r="E166" s="32" t="s">
        <v>61</v>
      </c>
    </row>
    <row r="167" spans="1:5" x14ac:dyDescent="0.2">
      <c r="A167" s="32">
        <v>2026</v>
      </c>
      <c r="B167" s="32" t="s">
        <v>48</v>
      </c>
      <c r="C167" s="32" t="s">
        <v>1244</v>
      </c>
      <c r="D167" s="32" t="s">
        <v>1245</v>
      </c>
      <c r="E167" s="32" t="s">
        <v>61</v>
      </c>
    </row>
    <row r="168" spans="1:5" x14ac:dyDescent="0.2">
      <c r="A168" s="32">
        <v>2026</v>
      </c>
      <c r="B168" s="32" t="s">
        <v>48</v>
      </c>
      <c r="C168" s="32" t="s">
        <v>1246</v>
      </c>
      <c r="D168" s="32" t="s">
        <v>1247</v>
      </c>
      <c r="E168" s="32" t="s">
        <v>61</v>
      </c>
    </row>
    <row r="169" spans="1:5" x14ac:dyDescent="0.2">
      <c r="A169" s="32">
        <v>2026</v>
      </c>
      <c r="B169" s="32" t="s">
        <v>48</v>
      </c>
      <c r="C169" s="32" t="s">
        <v>1248</v>
      </c>
      <c r="D169" s="32" t="s">
        <v>1249</v>
      </c>
      <c r="E169" s="32" t="s">
        <v>61</v>
      </c>
    </row>
    <row r="170" spans="1:5" ht="25.5" x14ac:dyDescent="0.2">
      <c r="A170" s="32">
        <v>2026</v>
      </c>
      <c r="B170" s="32" t="s">
        <v>48</v>
      </c>
      <c r="C170" s="32" t="s">
        <v>1250</v>
      </c>
      <c r="D170" s="32" t="s">
        <v>1251</v>
      </c>
      <c r="E170" s="32" t="s">
        <v>61</v>
      </c>
    </row>
    <row r="171" spans="1:5" x14ac:dyDescent="0.2">
      <c r="A171" s="32">
        <v>2026</v>
      </c>
      <c r="B171" s="32" t="s">
        <v>48</v>
      </c>
      <c r="C171" s="32" t="s">
        <v>1252</v>
      </c>
      <c r="D171" s="32" t="s">
        <v>1253</v>
      </c>
      <c r="E171" s="32" t="s">
        <v>61</v>
      </c>
    </row>
    <row r="172" spans="1:5" ht="25.5" x14ac:dyDescent="0.2">
      <c r="A172" s="32">
        <v>2026</v>
      </c>
      <c r="B172" s="32" t="s">
        <v>48</v>
      </c>
      <c r="C172" s="32" t="s">
        <v>1254</v>
      </c>
      <c r="D172" s="32" t="s">
        <v>1255</v>
      </c>
      <c r="E172" s="32" t="s">
        <v>61</v>
      </c>
    </row>
    <row r="173" spans="1:5" x14ac:dyDescent="0.2">
      <c r="A173" s="32">
        <v>2026</v>
      </c>
      <c r="B173" s="32" t="s">
        <v>48</v>
      </c>
      <c r="C173" s="32" t="s">
        <v>1256</v>
      </c>
      <c r="D173" s="32" t="s">
        <v>1257</v>
      </c>
      <c r="E173" s="32" t="s">
        <v>61</v>
      </c>
    </row>
    <row r="174" spans="1:5" ht="25.5" x14ac:dyDescent="0.2">
      <c r="A174" s="32">
        <v>2026</v>
      </c>
      <c r="B174" s="32" t="s">
        <v>48</v>
      </c>
      <c r="C174" s="32" t="s">
        <v>1258</v>
      </c>
      <c r="D174" s="32" t="s">
        <v>1259</v>
      </c>
      <c r="E174" s="32" t="s">
        <v>61</v>
      </c>
    </row>
    <row r="175" spans="1:5" x14ac:dyDescent="0.2">
      <c r="A175" s="32">
        <v>2026</v>
      </c>
      <c r="B175" s="32" t="s">
        <v>48</v>
      </c>
      <c r="C175" s="32" t="s">
        <v>1260</v>
      </c>
      <c r="D175" s="32" t="s">
        <v>1261</v>
      </c>
      <c r="E175" s="32" t="s">
        <v>61</v>
      </c>
    </row>
    <row r="176" spans="1:5" x14ac:dyDescent="0.2">
      <c r="A176" s="32">
        <v>2026</v>
      </c>
      <c r="B176" s="32" t="s">
        <v>48</v>
      </c>
      <c r="C176" s="32" t="s">
        <v>1262</v>
      </c>
      <c r="D176" s="32" t="s">
        <v>1263</v>
      </c>
      <c r="E176" s="32" t="s">
        <v>61</v>
      </c>
    </row>
    <row r="177" spans="1:5" x14ac:dyDescent="0.2">
      <c r="A177" s="32">
        <v>2026</v>
      </c>
      <c r="B177" s="32" t="s">
        <v>48</v>
      </c>
      <c r="C177" s="32" t="s">
        <v>1264</v>
      </c>
      <c r="D177" s="32" t="s">
        <v>1265</v>
      </c>
      <c r="E177" s="32" t="s">
        <v>61</v>
      </c>
    </row>
    <row r="178" spans="1:5" ht="25.5" x14ac:dyDescent="0.2">
      <c r="A178" s="32">
        <v>2026</v>
      </c>
      <c r="B178" s="32" t="s">
        <v>48</v>
      </c>
      <c r="C178" s="32" t="s">
        <v>1266</v>
      </c>
      <c r="D178" s="32" t="s">
        <v>1267</v>
      </c>
      <c r="E178" s="32" t="s">
        <v>61</v>
      </c>
    </row>
    <row r="179" spans="1:5" x14ac:dyDescent="0.2">
      <c r="A179" s="32">
        <v>2026</v>
      </c>
      <c r="B179" s="32" t="s">
        <v>48</v>
      </c>
      <c r="C179" s="32" t="s">
        <v>1268</v>
      </c>
      <c r="D179" s="32" t="s">
        <v>1269</v>
      </c>
      <c r="E179" s="32" t="s">
        <v>61</v>
      </c>
    </row>
    <row r="180" spans="1:5" x14ac:dyDescent="0.2">
      <c r="A180" s="32">
        <v>2026</v>
      </c>
      <c r="B180" s="32" t="s">
        <v>48</v>
      </c>
      <c r="C180" s="32" t="s">
        <v>1270</v>
      </c>
      <c r="D180" s="32" t="s">
        <v>1271</v>
      </c>
      <c r="E180" s="32" t="s">
        <v>61</v>
      </c>
    </row>
    <row r="181" spans="1:5" x14ac:dyDescent="0.2">
      <c r="A181" s="32">
        <v>2026</v>
      </c>
      <c r="B181" s="32" t="s">
        <v>48</v>
      </c>
      <c r="C181" s="32" t="s">
        <v>1272</v>
      </c>
      <c r="D181" s="32" t="s">
        <v>1273</v>
      </c>
      <c r="E181" s="32" t="s">
        <v>61</v>
      </c>
    </row>
    <row r="182" spans="1:5" x14ac:dyDescent="0.2">
      <c r="A182" s="32">
        <v>2026</v>
      </c>
      <c r="B182" s="32" t="s">
        <v>48</v>
      </c>
      <c r="C182" s="32" t="s">
        <v>1274</v>
      </c>
      <c r="D182" s="32" t="s">
        <v>1275</v>
      </c>
      <c r="E182" s="32" t="s">
        <v>61</v>
      </c>
    </row>
    <row r="183" spans="1:5" x14ac:dyDescent="0.2">
      <c r="A183" s="32">
        <v>2026</v>
      </c>
      <c r="B183" s="32" t="s">
        <v>48</v>
      </c>
      <c r="C183" s="32" t="s">
        <v>1276</v>
      </c>
      <c r="D183" s="32" t="s">
        <v>1277</v>
      </c>
      <c r="E183" s="32" t="s">
        <v>61</v>
      </c>
    </row>
    <row r="184" spans="1:5" x14ac:dyDescent="0.2">
      <c r="A184" s="32">
        <v>2026</v>
      </c>
      <c r="B184" s="32" t="s">
        <v>48</v>
      </c>
      <c r="C184" s="32" t="s">
        <v>1278</v>
      </c>
      <c r="D184" s="32" t="s">
        <v>1279</v>
      </c>
      <c r="E184" s="32" t="s">
        <v>61</v>
      </c>
    </row>
    <row r="185" spans="1:5" x14ac:dyDescent="0.2">
      <c r="A185" s="32">
        <v>2026</v>
      </c>
      <c r="B185" s="32" t="s">
        <v>48</v>
      </c>
      <c r="C185" s="32" t="s">
        <v>1280</v>
      </c>
      <c r="D185" s="32" t="s">
        <v>1281</v>
      </c>
      <c r="E185" s="32" t="s">
        <v>61</v>
      </c>
    </row>
    <row r="186" spans="1:5" x14ac:dyDescent="0.2">
      <c r="A186" s="32">
        <v>2026</v>
      </c>
      <c r="B186" s="32" t="s">
        <v>48</v>
      </c>
      <c r="C186" s="32" t="s">
        <v>1282</v>
      </c>
      <c r="D186" s="32" t="s">
        <v>1283</v>
      </c>
      <c r="E186" s="32" t="s">
        <v>61</v>
      </c>
    </row>
    <row r="187" spans="1:5" x14ac:dyDescent="0.2">
      <c r="A187" s="32">
        <v>2026</v>
      </c>
      <c r="B187" s="32" t="s">
        <v>48</v>
      </c>
      <c r="C187" s="32" t="s">
        <v>1284</v>
      </c>
      <c r="D187" s="32" t="s">
        <v>1285</v>
      </c>
      <c r="E187" s="32" t="s">
        <v>61</v>
      </c>
    </row>
    <row r="188" spans="1:5" x14ac:dyDescent="0.2">
      <c r="A188" s="32">
        <v>2026</v>
      </c>
      <c r="B188" s="32" t="s">
        <v>48</v>
      </c>
      <c r="C188" s="32" t="s">
        <v>1286</v>
      </c>
      <c r="D188" s="32" t="s">
        <v>1287</v>
      </c>
      <c r="E188" s="32" t="s">
        <v>61</v>
      </c>
    </row>
    <row r="189" spans="1:5" x14ac:dyDescent="0.2">
      <c r="A189" s="32">
        <v>2026</v>
      </c>
      <c r="B189" s="32" t="s">
        <v>48</v>
      </c>
      <c r="C189" s="32" t="s">
        <v>1288</v>
      </c>
      <c r="D189" s="32" t="s">
        <v>1289</v>
      </c>
      <c r="E189" s="32" t="s">
        <v>61</v>
      </c>
    </row>
    <row r="190" spans="1:5" x14ac:dyDescent="0.2">
      <c r="A190" s="32">
        <v>2026</v>
      </c>
      <c r="B190" s="32" t="s">
        <v>48</v>
      </c>
      <c r="C190" s="32" t="s">
        <v>1290</v>
      </c>
      <c r="D190" s="32" t="s">
        <v>1291</v>
      </c>
      <c r="E190" s="32" t="s">
        <v>61</v>
      </c>
    </row>
    <row r="191" spans="1:5" ht="25.5" x14ac:dyDescent="0.2">
      <c r="A191" s="32">
        <v>2026</v>
      </c>
      <c r="B191" s="32" t="s">
        <v>48</v>
      </c>
      <c r="C191" s="32" t="s">
        <v>1292</v>
      </c>
      <c r="D191" s="32" t="s">
        <v>1293</v>
      </c>
      <c r="E191" s="32" t="s">
        <v>61</v>
      </c>
    </row>
    <row r="192" spans="1:5" x14ac:dyDescent="0.2">
      <c r="A192" s="32">
        <v>2026</v>
      </c>
      <c r="B192" s="32" t="s">
        <v>48</v>
      </c>
      <c r="C192" s="32" t="s">
        <v>1294</v>
      </c>
      <c r="D192" s="32" t="s">
        <v>1295</v>
      </c>
      <c r="E192" s="32" t="s">
        <v>61</v>
      </c>
    </row>
    <row r="193" spans="1:5" ht="25.5" x14ac:dyDescent="0.2">
      <c r="A193" s="32">
        <v>2026</v>
      </c>
      <c r="B193" s="32" t="s">
        <v>48</v>
      </c>
      <c r="C193" s="32" t="s">
        <v>1296</v>
      </c>
      <c r="D193" s="32" t="s">
        <v>1297</v>
      </c>
      <c r="E193" s="32" t="s">
        <v>61</v>
      </c>
    </row>
    <row r="194" spans="1:5" x14ac:dyDescent="0.2">
      <c r="A194" s="32">
        <v>2026</v>
      </c>
      <c r="B194" s="32" t="s">
        <v>48</v>
      </c>
      <c r="C194" s="32" t="s">
        <v>1298</v>
      </c>
      <c r="D194" s="32" t="s">
        <v>1299</v>
      </c>
      <c r="E194" s="32" t="s">
        <v>61</v>
      </c>
    </row>
    <row r="195" spans="1:5" ht="25.5" x14ac:dyDescent="0.2">
      <c r="A195" s="32">
        <v>2026</v>
      </c>
      <c r="B195" s="32" t="s">
        <v>48</v>
      </c>
      <c r="C195" s="32" t="s">
        <v>1300</v>
      </c>
      <c r="D195" s="32" t="s">
        <v>1301</v>
      </c>
      <c r="E195" s="32" t="s">
        <v>61</v>
      </c>
    </row>
    <row r="196" spans="1:5" x14ac:dyDescent="0.2">
      <c r="A196" s="32">
        <v>2026</v>
      </c>
      <c r="B196" s="32" t="s">
        <v>48</v>
      </c>
      <c r="C196" s="32" t="s">
        <v>1302</v>
      </c>
      <c r="D196" s="32" t="s">
        <v>1303</v>
      </c>
      <c r="E196" s="32" t="s">
        <v>61</v>
      </c>
    </row>
    <row r="197" spans="1:5" ht="25.5" x14ac:dyDescent="0.2">
      <c r="A197" s="32">
        <v>2026</v>
      </c>
      <c r="B197" s="32" t="s">
        <v>48</v>
      </c>
      <c r="C197" s="32" t="s">
        <v>1304</v>
      </c>
      <c r="D197" s="32" t="s">
        <v>1305</v>
      </c>
      <c r="E197" s="32" t="s">
        <v>61</v>
      </c>
    </row>
    <row r="198" spans="1:5" x14ac:dyDescent="0.2">
      <c r="A198" s="32">
        <v>2026</v>
      </c>
      <c r="B198" s="32" t="s">
        <v>48</v>
      </c>
      <c r="C198" s="32" t="s">
        <v>1306</v>
      </c>
      <c r="D198" s="32" t="s">
        <v>1307</v>
      </c>
      <c r="E198" s="32" t="s">
        <v>61</v>
      </c>
    </row>
    <row r="199" spans="1:5" x14ac:dyDescent="0.2">
      <c r="A199" s="32">
        <v>2026</v>
      </c>
      <c r="B199" s="32" t="s">
        <v>48</v>
      </c>
      <c r="C199" s="32" t="s">
        <v>1308</v>
      </c>
      <c r="D199" s="32" t="s">
        <v>1309</v>
      </c>
      <c r="E199" s="32" t="s">
        <v>61</v>
      </c>
    </row>
    <row r="200" spans="1:5" x14ac:dyDescent="0.2">
      <c r="A200" s="32">
        <v>2026</v>
      </c>
      <c r="B200" s="32" t="s">
        <v>48</v>
      </c>
      <c r="C200" s="32" t="s">
        <v>1310</v>
      </c>
      <c r="D200" s="32" t="s">
        <v>1311</v>
      </c>
      <c r="E200" s="32" t="s">
        <v>61</v>
      </c>
    </row>
    <row r="201" spans="1:5" x14ac:dyDescent="0.2">
      <c r="A201" s="32">
        <v>2026</v>
      </c>
      <c r="B201" s="32" t="s">
        <v>48</v>
      </c>
      <c r="C201" s="32" t="s">
        <v>1312</v>
      </c>
      <c r="D201" s="32" t="s">
        <v>1313</v>
      </c>
      <c r="E201" s="32" t="s">
        <v>61</v>
      </c>
    </row>
    <row r="202" spans="1:5" x14ac:dyDescent="0.2">
      <c r="A202" s="32">
        <v>2026</v>
      </c>
      <c r="B202" s="32" t="s">
        <v>48</v>
      </c>
      <c r="C202" s="32" t="s">
        <v>1314</v>
      </c>
      <c r="D202" s="32" t="s">
        <v>1315</v>
      </c>
      <c r="E202" s="32" t="s">
        <v>61</v>
      </c>
    </row>
    <row r="203" spans="1:5" ht="25.5" x14ac:dyDescent="0.2">
      <c r="A203" s="32">
        <v>2026</v>
      </c>
      <c r="B203" s="32" t="s">
        <v>48</v>
      </c>
      <c r="C203" s="32" t="s">
        <v>1316</v>
      </c>
      <c r="D203" s="32" t="s">
        <v>1317</v>
      </c>
      <c r="E203" s="32" t="s">
        <v>61</v>
      </c>
    </row>
    <row r="204" spans="1:5" ht="25.5" x14ac:dyDescent="0.2">
      <c r="A204" s="32">
        <v>2026</v>
      </c>
      <c r="B204" s="32" t="s">
        <v>48</v>
      </c>
      <c r="C204" s="32" t="s">
        <v>1318</v>
      </c>
      <c r="D204" s="32" t="s">
        <v>1319</v>
      </c>
      <c r="E204" s="32" t="s">
        <v>61</v>
      </c>
    </row>
    <row r="205" spans="1:5" x14ac:dyDescent="0.2">
      <c r="A205" s="32">
        <v>2026</v>
      </c>
      <c r="B205" s="32" t="s">
        <v>48</v>
      </c>
      <c r="C205" s="32" t="s">
        <v>1320</v>
      </c>
      <c r="D205" s="32" t="s">
        <v>1321</v>
      </c>
      <c r="E205" s="32" t="s">
        <v>61</v>
      </c>
    </row>
    <row r="206" spans="1:5" x14ac:dyDescent="0.2">
      <c r="A206" s="32">
        <v>2026</v>
      </c>
      <c r="B206" s="32" t="s">
        <v>48</v>
      </c>
      <c r="C206" s="32" t="s">
        <v>1322</v>
      </c>
      <c r="D206" s="32" t="s">
        <v>1323</v>
      </c>
      <c r="E206" s="32" t="s">
        <v>61</v>
      </c>
    </row>
    <row r="207" spans="1:5" x14ac:dyDescent="0.2">
      <c r="A207" s="32">
        <v>2026</v>
      </c>
      <c r="B207" s="32" t="s">
        <v>48</v>
      </c>
      <c r="C207" s="32" t="s">
        <v>1324</v>
      </c>
      <c r="D207" s="32" t="s">
        <v>1325</v>
      </c>
      <c r="E207" s="32" t="s">
        <v>61</v>
      </c>
    </row>
    <row r="208" spans="1:5" x14ac:dyDescent="0.2">
      <c r="A208" s="32">
        <v>2026</v>
      </c>
      <c r="B208" s="32" t="s">
        <v>48</v>
      </c>
      <c r="C208" s="32" t="s">
        <v>1326</v>
      </c>
      <c r="D208" s="32" t="s">
        <v>1327</v>
      </c>
      <c r="E208" s="32" t="s">
        <v>61</v>
      </c>
    </row>
    <row r="209" spans="1:5" x14ac:dyDescent="0.2">
      <c r="A209" s="32">
        <v>2026</v>
      </c>
      <c r="B209" s="32" t="s">
        <v>48</v>
      </c>
      <c r="C209" s="32" t="s">
        <v>1328</v>
      </c>
      <c r="D209" s="32" t="s">
        <v>1329</v>
      </c>
      <c r="E209" s="32" t="s">
        <v>61</v>
      </c>
    </row>
    <row r="210" spans="1:5" x14ac:dyDescent="0.2">
      <c r="A210" s="32">
        <v>2026</v>
      </c>
      <c r="B210" s="32" t="s">
        <v>48</v>
      </c>
      <c r="C210" s="32" t="s">
        <v>1330</v>
      </c>
      <c r="D210" s="32" t="s">
        <v>1331</v>
      </c>
      <c r="E210" s="32" t="s">
        <v>61</v>
      </c>
    </row>
    <row r="211" spans="1:5" ht="25.5" x14ac:dyDescent="0.2">
      <c r="A211" s="32">
        <v>2026</v>
      </c>
      <c r="B211" s="32" t="s">
        <v>48</v>
      </c>
      <c r="C211" s="32" t="s">
        <v>1332</v>
      </c>
      <c r="D211" s="32" t="s">
        <v>1333</v>
      </c>
      <c r="E211" s="32" t="s">
        <v>61</v>
      </c>
    </row>
    <row r="212" spans="1:5" x14ac:dyDescent="0.2">
      <c r="A212" s="32">
        <v>2026</v>
      </c>
      <c r="B212" s="32" t="s">
        <v>48</v>
      </c>
      <c r="C212" s="32" t="s">
        <v>1334</v>
      </c>
      <c r="D212" s="32" t="s">
        <v>1335</v>
      </c>
      <c r="E212" s="32" t="s">
        <v>61</v>
      </c>
    </row>
    <row r="213" spans="1:5" x14ac:dyDescent="0.2">
      <c r="A213" s="32">
        <v>2026</v>
      </c>
      <c r="B213" s="32" t="s">
        <v>48</v>
      </c>
      <c r="C213" s="32" t="s">
        <v>1336</v>
      </c>
      <c r="D213" s="32" t="s">
        <v>1337</v>
      </c>
      <c r="E213" s="32" t="s">
        <v>61</v>
      </c>
    </row>
    <row r="214" spans="1:5" x14ac:dyDescent="0.2">
      <c r="A214" s="32">
        <v>2026</v>
      </c>
      <c r="B214" s="32" t="s">
        <v>48</v>
      </c>
      <c r="C214" s="32" t="s">
        <v>1338</v>
      </c>
      <c r="D214" s="32" t="s">
        <v>1339</v>
      </c>
      <c r="E214" s="32" t="s">
        <v>61</v>
      </c>
    </row>
    <row r="215" spans="1:5" x14ac:dyDescent="0.2">
      <c r="A215" s="32">
        <v>2026</v>
      </c>
      <c r="B215" s="32" t="s">
        <v>48</v>
      </c>
      <c r="C215" s="32" t="s">
        <v>1340</v>
      </c>
      <c r="D215" s="32" t="s">
        <v>1341</v>
      </c>
      <c r="E215" s="32" t="s">
        <v>61</v>
      </c>
    </row>
    <row r="216" spans="1:5" x14ac:dyDescent="0.2">
      <c r="A216" s="32">
        <v>2026</v>
      </c>
      <c r="B216" s="32" t="s">
        <v>48</v>
      </c>
      <c r="C216" s="32" t="s">
        <v>1342</v>
      </c>
      <c r="D216" s="32" t="s">
        <v>1343</v>
      </c>
      <c r="E216" s="32" t="s">
        <v>61</v>
      </c>
    </row>
    <row r="217" spans="1:5" x14ac:dyDescent="0.2">
      <c r="A217" s="32">
        <v>2026</v>
      </c>
      <c r="B217" s="32" t="s">
        <v>48</v>
      </c>
      <c r="C217" s="32" t="s">
        <v>1344</v>
      </c>
      <c r="D217" s="32" t="s">
        <v>1345</v>
      </c>
      <c r="E217" s="32" t="s">
        <v>61</v>
      </c>
    </row>
    <row r="218" spans="1:5" x14ac:dyDescent="0.2">
      <c r="A218" s="32">
        <v>2026</v>
      </c>
      <c r="B218" s="32" t="s">
        <v>48</v>
      </c>
      <c r="C218" s="32" t="s">
        <v>1346</v>
      </c>
      <c r="D218" s="32" t="s">
        <v>1347</v>
      </c>
      <c r="E218" s="32" t="s">
        <v>61</v>
      </c>
    </row>
  </sheetData>
  <pageMargins left="0.78740157499999996" right="0.78740157499999996" top="0.984251969" bottom="0.984251969"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634FD-9034-486E-905D-257A79EF96D7}">
  <dimension ref="A1:D28"/>
  <sheetViews>
    <sheetView workbookViewId="0">
      <pane ySplit="1" topLeftCell="A2" activePane="bottomLeft" state="frozen"/>
      <selection pane="bottomLeft" activeCell="J26" sqref="J26"/>
    </sheetView>
  </sheetViews>
  <sheetFormatPr baseColWidth="10" defaultColWidth="11.42578125" defaultRowHeight="12.75" x14ac:dyDescent="0.2"/>
  <cols>
    <col min="1" max="4" width="20.28515625" style="32" bestFit="1" customWidth="1"/>
    <col min="5" max="16384" width="11.42578125" style="31"/>
  </cols>
  <sheetData>
    <row r="1" spans="1:4" x14ac:dyDescent="0.2">
      <c r="A1" s="30" t="s">
        <v>0</v>
      </c>
      <c r="B1" s="30" t="s">
        <v>1363</v>
      </c>
      <c r="C1" s="30" t="s">
        <v>56</v>
      </c>
      <c r="D1" s="30" t="s">
        <v>57</v>
      </c>
    </row>
    <row r="2" spans="1:4" x14ac:dyDescent="0.2">
      <c r="A2" s="32">
        <v>2026</v>
      </c>
      <c r="B2" s="32" t="s">
        <v>1349</v>
      </c>
      <c r="C2" s="32" t="s">
        <v>1307</v>
      </c>
      <c r="D2" s="32" t="s">
        <v>61</v>
      </c>
    </row>
    <row r="3" spans="1:4" x14ac:dyDescent="0.2">
      <c r="A3" s="32">
        <v>2026</v>
      </c>
      <c r="B3" s="32" t="s">
        <v>1351</v>
      </c>
      <c r="C3" s="32" t="s">
        <v>1057</v>
      </c>
      <c r="D3" s="32" t="s">
        <v>61</v>
      </c>
    </row>
    <row r="4" spans="1:4" x14ac:dyDescent="0.2">
      <c r="A4" s="32">
        <v>2026</v>
      </c>
      <c r="B4" s="32" t="s">
        <v>1353</v>
      </c>
      <c r="C4" s="32" t="s">
        <v>1021</v>
      </c>
      <c r="D4" s="32" t="s">
        <v>61</v>
      </c>
    </row>
    <row r="5" spans="1:4" x14ac:dyDescent="0.2">
      <c r="A5" s="32">
        <v>2026</v>
      </c>
      <c r="B5" s="32" t="s">
        <v>1355</v>
      </c>
      <c r="C5" s="32" t="s">
        <v>993</v>
      </c>
      <c r="D5" s="32" t="s">
        <v>61</v>
      </c>
    </row>
    <row r="6" spans="1:4" x14ac:dyDescent="0.2">
      <c r="A6" s="32">
        <v>2026</v>
      </c>
      <c r="B6" s="32" t="s">
        <v>1357</v>
      </c>
      <c r="C6" s="32" t="s">
        <v>1327</v>
      </c>
      <c r="D6" s="32" t="s">
        <v>61</v>
      </c>
    </row>
    <row r="7" spans="1:4" x14ac:dyDescent="0.2">
      <c r="A7" s="32">
        <v>2026</v>
      </c>
      <c r="B7" s="32" t="s">
        <v>1359</v>
      </c>
      <c r="C7" s="32" t="s">
        <v>1261</v>
      </c>
      <c r="D7" s="32" t="s">
        <v>61</v>
      </c>
    </row>
    <row r="8" spans="1:4" x14ac:dyDescent="0.2">
      <c r="A8" s="32">
        <v>2026</v>
      </c>
      <c r="B8" s="32" t="s">
        <v>1361</v>
      </c>
      <c r="C8" s="32" t="s">
        <v>1285</v>
      </c>
      <c r="D8" s="32" t="s">
        <v>61</v>
      </c>
    </row>
    <row r="9" spans="1:4" x14ac:dyDescent="0.2">
      <c r="A9" s="32">
        <v>2026</v>
      </c>
      <c r="B9" s="32" t="s">
        <v>1364</v>
      </c>
      <c r="C9" s="32" t="s">
        <v>1103</v>
      </c>
      <c r="D9" s="32" t="s">
        <v>61</v>
      </c>
    </row>
    <row r="10" spans="1:4" x14ac:dyDescent="0.2">
      <c r="A10" s="32">
        <v>2026</v>
      </c>
      <c r="B10" s="32" t="s">
        <v>1365</v>
      </c>
      <c r="C10" s="32" t="s">
        <v>1366</v>
      </c>
      <c r="D10" s="32" t="s">
        <v>61</v>
      </c>
    </row>
    <row r="11" spans="1:4" x14ac:dyDescent="0.2">
      <c r="A11" s="32">
        <v>2026</v>
      </c>
      <c r="B11" s="32" t="s">
        <v>1367</v>
      </c>
      <c r="C11" s="32" t="s">
        <v>1221</v>
      </c>
      <c r="D11" s="32" t="s">
        <v>61</v>
      </c>
    </row>
    <row r="12" spans="1:4" x14ac:dyDescent="0.2">
      <c r="A12" s="32">
        <v>2026</v>
      </c>
      <c r="B12" s="32" t="s">
        <v>1368</v>
      </c>
      <c r="C12" s="32" t="s">
        <v>942</v>
      </c>
      <c r="D12" s="32" t="s">
        <v>61</v>
      </c>
    </row>
    <row r="13" spans="1:4" x14ac:dyDescent="0.2">
      <c r="A13" s="32">
        <v>2026</v>
      </c>
      <c r="B13" s="32" t="s">
        <v>1369</v>
      </c>
      <c r="C13" s="32" t="s">
        <v>1241</v>
      </c>
      <c r="D13" s="32" t="s">
        <v>61</v>
      </c>
    </row>
    <row r="14" spans="1:4" x14ac:dyDescent="0.2">
      <c r="A14" s="32">
        <v>2026</v>
      </c>
      <c r="B14" s="32" t="s">
        <v>1370</v>
      </c>
      <c r="C14" s="32" t="s">
        <v>1371</v>
      </c>
      <c r="D14" s="32" t="s">
        <v>61</v>
      </c>
    </row>
    <row r="15" spans="1:4" x14ac:dyDescent="0.2">
      <c r="A15" s="32">
        <v>2026</v>
      </c>
      <c r="B15" s="32" t="s">
        <v>1372</v>
      </c>
      <c r="C15" s="32" t="s">
        <v>1371</v>
      </c>
      <c r="D15" s="32" t="s">
        <v>61</v>
      </c>
    </row>
    <row r="16" spans="1:4" x14ac:dyDescent="0.2">
      <c r="A16" s="32">
        <v>2026</v>
      </c>
      <c r="B16" s="32" t="s">
        <v>1373</v>
      </c>
      <c r="C16" s="32" t="s">
        <v>1371</v>
      </c>
      <c r="D16" s="32" t="s">
        <v>61</v>
      </c>
    </row>
    <row r="17" spans="1:4" x14ac:dyDescent="0.2">
      <c r="A17" s="35">
        <v>2026</v>
      </c>
      <c r="B17" s="35" t="s">
        <v>1374</v>
      </c>
      <c r="C17" s="35" t="s">
        <v>1371</v>
      </c>
      <c r="D17" s="35" t="s">
        <v>61</v>
      </c>
    </row>
    <row r="18" spans="1:4" x14ac:dyDescent="0.2">
      <c r="A18" s="32">
        <v>2026</v>
      </c>
      <c r="B18" s="32" t="s">
        <v>1375</v>
      </c>
      <c r="C18" s="32" t="s">
        <v>958</v>
      </c>
      <c r="D18" s="32" t="s">
        <v>61</v>
      </c>
    </row>
    <row r="19" spans="1:4" x14ac:dyDescent="0.2">
      <c r="A19" s="32">
        <v>2026</v>
      </c>
      <c r="B19" s="32" t="s">
        <v>1376</v>
      </c>
      <c r="C19" s="32" t="s">
        <v>1377</v>
      </c>
      <c r="D19" s="32" t="s">
        <v>61</v>
      </c>
    </row>
    <row r="20" spans="1:4" x14ac:dyDescent="0.2">
      <c r="A20" s="32">
        <v>2026</v>
      </c>
      <c r="B20" s="32" t="s">
        <v>1378</v>
      </c>
      <c r="C20" s="32" t="s">
        <v>1063</v>
      </c>
      <c r="D20" s="32" t="s">
        <v>61</v>
      </c>
    </row>
    <row r="21" spans="1:4" ht="25.5" x14ac:dyDescent="0.2">
      <c r="A21" s="32">
        <v>2026</v>
      </c>
      <c r="B21" s="32" t="s">
        <v>1379</v>
      </c>
      <c r="C21" s="32" t="s">
        <v>1177</v>
      </c>
      <c r="D21" s="32" t="s">
        <v>61</v>
      </c>
    </row>
    <row r="22" spans="1:4" x14ac:dyDescent="0.2">
      <c r="A22" s="32">
        <v>2026</v>
      </c>
      <c r="B22" s="32" t="s">
        <v>48</v>
      </c>
      <c r="C22" s="32" t="s">
        <v>963</v>
      </c>
      <c r="D22" s="32" t="s">
        <v>61</v>
      </c>
    </row>
    <row r="23" spans="1:4" ht="25.5" x14ac:dyDescent="0.2">
      <c r="A23" s="32">
        <v>2026</v>
      </c>
      <c r="B23" s="32" t="s">
        <v>58</v>
      </c>
      <c r="C23" s="32" t="s">
        <v>1085</v>
      </c>
      <c r="D23" s="32" t="s">
        <v>61</v>
      </c>
    </row>
    <row r="24" spans="1:4" ht="25.5" x14ac:dyDescent="0.2">
      <c r="A24" s="32">
        <v>2026</v>
      </c>
      <c r="B24" s="32" t="s">
        <v>1380</v>
      </c>
      <c r="C24" s="32" t="s">
        <v>1381</v>
      </c>
      <c r="D24" s="32" t="s">
        <v>61</v>
      </c>
    </row>
    <row r="25" spans="1:4" x14ac:dyDescent="0.2">
      <c r="A25" s="32">
        <v>2026</v>
      </c>
      <c r="B25" s="32" t="s">
        <v>1382</v>
      </c>
      <c r="C25" s="32" t="s">
        <v>1009</v>
      </c>
      <c r="D25" s="32" t="s">
        <v>61</v>
      </c>
    </row>
    <row r="26" spans="1:4" ht="25.5" x14ac:dyDescent="0.2">
      <c r="A26" s="32">
        <v>2026</v>
      </c>
      <c r="B26" s="32" t="s">
        <v>1383</v>
      </c>
      <c r="C26" s="32" t="s">
        <v>1251</v>
      </c>
      <c r="D26" s="32" t="s">
        <v>61</v>
      </c>
    </row>
    <row r="27" spans="1:4" x14ac:dyDescent="0.2">
      <c r="A27" s="32">
        <v>2026</v>
      </c>
      <c r="B27" s="32" t="s">
        <v>1384</v>
      </c>
      <c r="C27" s="32" t="s">
        <v>1225</v>
      </c>
      <c r="D27" s="32" t="s">
        <v>61</v>
      </c>
    </row>
    <row r="28" spans="1:4" x14ac:dyDescent="0.2">
      <c r="A28" s="32">
        <v>2026</v>
      </c>
      <c r="B28" s="32" t="s">
        <v>1385</v>
      </c>
      <c r="C28" s="32" t="s">
        <v>949</v>
      </c>
      <c r="D28" s="32" t="s">
        <v>61</v>
      </c>
    </row>
  </sheetData>
  <pageMargins left="0.78740157499999996" right="0.78740157499999996" top="0.984251969" bottom="0.984251969"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F710D-431E-46B7-9AD4-BDAB14856222}">
  <dimension ref="A1:D8"/>
  <sheetViews>
    <sheetView workbookViewId="0">
      <pane ySplit="1" topLeftCell="A2" activePane="bottomLeft" state="frozen"/>
      <selection pane="bottomLeft" activeCell="D28" sqref="D28"/>
    </sheetView>
  </sheetViews>
  <sheetFormatPr baseColWidth="10" defaultColWidth="11.42578125" defaultRowHeight="12.75" x14ac:dyDescent="0.2"/>
  <cols>
    <col min="1" max="4" width="20.28515625" style="32" bestFit="1" customWidth="1"/>
    <col min="5" max="16384" width="11.42578125" style="31"/>
  </cols>
  <sheetData>
    <row r="1" spans="1:4" x14ac:dyDescent="0.2">
      <c r="A1" s="33" t="s">
        <v>0</v>
      </c>
      <c r="B1" s="33" t="s">
        <v>1348</v>
      </c>
      <c r="C1" s="33" t="s">
        <v>56</v>
      </c>
      <c r="D1" s="33" t="s">
        <v>57</v>
      </c>
    </row>
    <row r="2" spans="1:4" x14ac:dyDescent="0.2">
      <c r="A2" s="32">
        <v>2026</v>
      </c>
      <c r="B2" s="32" t="s">
        <v>1349</v>
      </c>
      <c r="C2" s="32" t="s">
        <v>1350</v>
      </c>
      <c r="D2" s="32" t="s">
        <v>61</v>
      </c>
    </row>
    <row r="3" spans="1:4" x14ac:dyDescent="0.2">
      <c r="A3" s="32">
        <v>2026</v>
      </c>
      <c r="B3" s="32" t="s">
        <v>1351</v>
      </c>
      <c r="C3" s="32" t="s">
        <v>1352</v>
      </c>
      <c r="D3" s="32" t="s">
        <v>61</v>
      </c>
    </row>
    <row r="4" spans="1:4" x14ac:dyDescent="0.2">
      <c r="A4" s="32">
        <v>2026</v>
      </c>
      <c r="B4" s="32" t="s">
        <v>1353</v>
      </c>
      <c r="C4" s="32" t="s">
        <v>1354</v>
      </c>
      <c r="D4" s="32" t="s">
        <v>61</v>
      </c>
    </row>
    <row r="5" spans="1:4" x14ac:dyDescent="0.2">
      <c r="A5" s="32">
        <v>2026</v>
      </c>
      <c r="B5" s="32" t="s">
        <v>1355</v>
      </c>
      <c r="C5" s="32" t="s">
        <v>1356</v>
      </c>
      <c r="D5" s="32" t="s">
        <v>61</v>
      </c>
    </row>
    <row r="6" spans="1:4" x14ac:dyDescent="0.2">
      <c r="A6" s="32">
        <v>2026</v>
      </c>
      <c r="B6" s="32" t="s">
        <v>1357</v>
      </c>
      <c r="C6" s="32" t="s">
        <v>1358</v>
      </c>
      <c r="D6" s="32" t="s">
        <v>61</v>
      </c>
    </row>
    <row r="7" spans="1:4" x14ac:dyDescent="0.2">
      <c r="A7" s="32">
        <v>2026</v>
      </c>
      <c r="B7" s="32" t="s">
        <v>1359</v>
      </c>
      <c r="C7" s="32" t="s">
        <v>1360</v>
      </c>
      <c r="D7" s="32" t="s">
        <v>61</v>
      </c>
    </row>
    <row r="8" spans="1:4" x14ac:dyDescent="0.2">
      <c r="A8" s="32">
        <v>2026</v>
      </c>
      <c r="B8" s="32" t="s">
        <v>1361</v>
      </c>
      <c r="C8" s="32" t="s">
        <v>1362</v>
      </c>
      <c r="D8" s="32" t="s">
        <v>61</v>
      </c>
    </row>
  </sheetData>
  <pageMargins left="0.78740157499999996" right="0.78740157499999996" top="0.984251969" bottom="0.984251969"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FORMATO PRESUPUESTO GRAL</vt:lpstr>
      <vt:lpstr>CATALOGO DE PARTIDAS</vt:lpstr>
      <vt:lpstr>CATALOGO DE ACTIVIDADES</vt:lpstr>
      <vt:lpstr>CATALOGO DE TIPO DE GASTO</vt:lpstr>
      <vt:lpstr>CATALOGO DE CAPITULOS</vt:lpstr>
      <vt:lpstr>CATALOGO DE MUNICIPIOS</vt:lpstr>
      <vt:lpstr>CATALOGO DE REGIONES</vt:lpstr>
      <vt:lpstr>CATALOGO DE PUEBLOS ORIGINARIOS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IPPI03F</dc:creator>
  <cp:lastModifiedBy>Miguel Trinidad Gómez Hernandez</cp:lastModifiedBy>
  <dcterms:created xsi:type="dcterms:W3CDTF">2026-01-06T19:45:48Z</dcterms:created>
  <dcterms:modified xsi:type="dcterms:W3CDTF">2026-08-21T20:38:24Z</dcterms:modified>
</cp:coreProperties>
</file>