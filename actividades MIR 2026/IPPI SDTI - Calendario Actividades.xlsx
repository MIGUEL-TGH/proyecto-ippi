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mc:AlternateContent xmlns:mc="http://schemas.openxmlformats.org/markup-compatibility/2006">
    <mc:Choice Requires="x15">
      <x15ac:absPath xmlns:x15ac="http://schemas.microsoft.com/office/spreadsheetml/2010/11/ac" url="C:\Users\IPPI 11\Documents\GitHub\proyecto-ippi\actividades MIR 2026\"/>
    </mc:Choice>
  </mc:AlternateContent>
  <xr:revisionPtr revIDLastSave="0" documentId="13_ncr:1_{BB4EDD1A-B45D-49C0-869D-143131223A4D}" xr6:coauthVersionLast="47" xr6:coauthVersionMax="47" xr10:uidLastSave="{00000000-0000-0000-0000-000000000000}"/>
  <bookViews>
    <workbookView xWindow="-120" yWindow="-120" windowWidth="29040" windowHeight="15840" tabRatio="788" activeTab="3" xr2:uid="{00000000-000D-0000-FFFF-FFFF00000000}"/>
  </bookViews>
  <sheets>
    <sheet name="Calendario" sheetId="15" r:id="rId1"/>
    <sheet name="Calendario Detallado" sheetId="14" r:id="rId2"/>
    <sheet name="Calendario Detallado 2020" sheetId="18" r:id="rId3"/>
    <sheet name="Calendario Detallado 2026" sheetId="17" r:id="rId4"/>
  </sheets>
  <definedNames>
    <definedName name="_xlnm.Print_Area" localSheetId="0">Calendario!$A$2:$H$73</definedName>
    <definedName name="_xlnm.Print_Area" localSheetId="1">'Calendario Detallado'!$B$1:$I$168</definedName>
    <definedName name="_xlnm.Print_Area" localSheetId="2">'Calendario Detallado 2020'!$B$1:$I$168</definedName>
    <definedName name="_xlnm.Print_Area" localSheetId="3">'Calendario Detallado 2026'!$B$1:$I$168</definedName>
    <definedName name="Calendario10Año" localSheetId="2">'Calendario Detallado 2020'!$B$127</definedName>
    <definedName name="Calendario10Año" localSheetId="3">'Calendario Detallado 2026'!$B$127</definedName>
    <definedName name="Calendario10Año">'Calendario Detallado'!$B$127</definedName>
    <definedName name="Calendario10Mes" localSheetId="2">'Calendario Detallado 2020'!$C$127</definedName>
    <definedName name="Calendario10Mes" localSheetId="3">'Calendario Detallado 2026'!$C$127</definedName>
    <definedName name="Calendario10Mes">'Calendario Detallado'!$C$127</definedName>
    <definedName name="Calendario10MesOpción" localSheetId="2">MATCH('Calendario Detallado 2020'!Calendario10Mes,Meses,0)</definedName>
    <definedName name="Calendario10MesOpción" localSheetId="3">MATCH('Calendario Detallado 2026'!Calendario10Mes,Meses,0)</definedName>
    <definedName name="Calendario10MesOpción">MATCH(Calendario10Mes,Meses,0)</definedName>
    <definedName name="Calendario11Año" localSheetId="2">'Calendario Detallado 2020'!$B$141</definedName>
    <definedName name="Calendario11Año" localSheetId="3">'Calendario Detallado 2026'!$B$141</definedName>
    <definedName name="Calendario11Año">'Calendario Detallado'!$B$141</definedName>
    <definedName name="Calendario11Mes" localSheetId="2">'Calendario Detallado 2020'!$C$141</definedName>
    <definedName name="Calendario11Mes" localSheetId="3">'Calendario Detallado 2026'!$C$141</definedName>
    <definedName name="Calendario11Mes">'Calendario Detallado'!$C$141</definedName>
    <definedName name="Calendario11MesOpción" localSheetId="2">MATCH('Calendario Detallado 2020'!Calendario11Mes,Meses,0)</definedName>
    <definedName name="Calendario11MesOpción" localSheetId="3">MATCH('Calendario Detallado 2026'!Calendario11Mes,Meses,0)</definedName>
    <definedName name="Calendario11MesOpción">MATCH(Calendario11Mes,Meses,0)</definedName>
    <definedName name="Calendario12Año" localSheetId="2">'Calendario Detallado 2020'!$B$155</definedName>
    <definedName name="Calendario12Año" localSheetId="3">'Calendario Detallado 2026'!$B$155</definedName>
    <definedName name="Calendario12Año">'Calendario Detallado'!$B$155</definedName>
    <definedName name="Calendario12Mes" localSheetId="2">'Calendario Detallado 2020'!$C$155</definedName>
    <definedName name="Calendario12Mes" localSheetId="3">'Calendario Detallado 2026'!$C$155</definedName>
    <definedName name="Calendario12Mes">'Calendario Detallado'!$C$155</definedName>
    <definedName name="Calendario12MesOpción" localSheetId="2">MATCH('Calendario Detallado 2020'!Calendario12Mes,Meses,0)</definedName>
    <definedName name="Calendario12MesOpción" localSheetId="3">MATCH('Calendario Detallado 2026'!Calendario12Mes,Meses,0)</definedName>
    <definedName name="Calendario12MesOpción">MATCH(Calendario12Mes,Meses,0)</definedName>
    <definedName name="Calendario1Año" localSheetId="2">'Calendario Detallado 2020'!$B$1</definedName>
    <definedName name="Calendario1Año" localSheetId="3">'Calendario Detallado 2026'!$B$1</definedName>
    <definedName name="Calendario1Año">'Calendario Detallado'!$B$1</definedName>
    <definedName name="Calendario1Mes" localSheetId="2">'Calendario Detallado 2020'!$C$1</definedName>
    <definedName name="Calendario1Mes" localSheetId="3">'Calendario Detallado 2026'!$C$1</definedName>
    <definedName name="Calendario1Mes">'Calendario Detallado'!$C$1</definedName>
    <definedName name="Calendario1MesOpción" localSheetId="2">MATCH('Calendario Detallado 2020'!Calendario1Mes,Meses,0)</definedName>
    <definedName name="Calendario1MesOpción" localSheetId="3">MATCH('Calendario Detallado 2026'!Calendario1Mes,Meses,0)</definedName>
    <definedName name="Calendario1MesOpción">MATCH(Calendario1Mes,Meses,0)</definedName>
    <definedName name="Calendario2Año" localSheetId="2">'Calendario Detallado 2020'!$B$15</definedName>
    <definedName name="Calendario2Año" localSheetId="3">'Calendario Detallado 2026'!$B$15</definedName>
    <definedName name="Calendario2Año">'Calendario Detallado'!$B$15</definedName>
    <definedName name="Calendario2Mes" localSheetId="2">'Calendario Detallado 2020'!$C$15</definedName>
    <definedName name="Calendario2Mes" localSheetId="3">'Calendario Detallado 2026'!$C$15</definedName>
    <definedName name="Calendario2Mes">'Calendario Detallado'!$C$15</definedName>
    <definedName name="Calendario2MesOpción" localSheetId="2">MATCH('Calendario Detallado 2020'!Calendario2Mes,Meses,0)</definedName>
    <definedName name="Calendario2MesOpción" localSheetId="3">MATCH('Calendario Detallado 2026'!Calendario2Mes,Meses,0)</definedName>
    <definedName name="Calendario2MesOpción">MATCH(Calendario2Mes,Meses,0)</definedName>
    <definedName name="Calendario3Año" localSheetId="2">'Calendario Detallado 2020'!$B$29</definedName>
    <definedName name="Calendario3Año" localSheetId="3">'Calendario Detallado 2026'!$B$29</definedName>
    <definedName name="Calendario3Año">'Calendario Detallado'!$B$29</definedName>
    <definedName name="Calendario3Mes" localSheetId="2">'Calendario Detallado 2020'!$C$29</definedName>
    <definedName name="Calendario3Mes" localSheetId="3">'Calendario Detallado 2026'!$C$29</definedName>
    <definedName name="Calendario3Mes">'Calendario Detallado'!$C$29</definedName>
    <definedName name="Calendario3MesOpción" localSheetId="2">MATCH('Calendario Detallado 2020'!Calendario3Mes,Meses,0)</definedName>
    <definedName name="Calendario3MesOpción" localSheetId="3">MATCH('Calendario Detallado 2026'!Calendario3Mes,Meses,0)</definedName>
    <definedName name="Calendario3MesOpción">MATCH(Calendario3Mes,Meses,0)</definedName>
    <definedName name="Calendario4Año" localSheetId="2">'Calendario Detallado 2020'!$B$43</definedName>
    <definedName name="Calendario4Año" localSheetId="3">'Calendario Detallado 2026'!$B$43</definedName>
    <definedName name="Calendario4Año">'Calendario Detallado'!$B$43</definedName>
    <definedName name="Calendario4Mes" localSheetId="2">'Calendario Detallado 2020'!$C$43</definedName>
    <definedName name="Calendario4Mes" localSheetId="3">'Calendario Detallado 2026'!$C$43</definedName>
    <definedName name="Calendario4Mes">'Calendario Detallado'!$C$43</definedName>
    <definedName name="Calendario4MesOpción" localSheetId="2">MATCH('Calendario Detallado 2020'!Calendario4Mes,Meses,0)</definedName>
    <definedName name="Calendario4MesOpción" localSheetId="3">MATCH('Calendario Detallado 2026'!Calendario4Mes,Meses,0)</definedName>
    <definedName name="Calendario4MesOpción">MATCH(Calendario4Mes,Meses,0)</definedName>
    <definedName name="Calendario5Año" localSheetId="2">'Calendario Detallado 2020'!$B$57</definedName>
    <definedName name="Calendario5Año" localSheetId="3">'Calendario Detallado 2026'!$B$57</definedName>
    <definedName name="Calendario5Año">'Calendario Detallado'!$B$57</definedName>
    <definedName name="Calendario5Mes" localSheetId="2">'Calendario Detallado 2020'!$C$57</definedName>
    <definedName name="Calendario5Mes" localSheetId="3">'Calendario Detallado 2026'!$C$57</definedName>
    <definedName name="Calendario5Mes">'Calendario Detallado'!$C$57</definedName>
    <definedName name="Calendario5MesOpción" localSheetId="2">MATCH('Calendario Detallado 2020'!Calendario5Mes,Meses,0)</definedName>
    <definedName name="Calendario5MesOpción" localSheetId="3">MATCH('Calendario Detallado 2026'!Calendario5Mes,Meses,0)</definedName>
    <definedName name="Calendario5MesOpción">MATCH(Calendario5Mes,Meses,0)</definedName>
    <definedName name="Calendario6Año" localSheetId="2">'Calendario Detallado 2020'!$B$71</definedName>
    <definedName name="Calendario6Año" localSheetId="3">'Calendario Detallado 2026'!$B$71</definedName>
    <definedName name="Calendario6Año">'Calendario Detallado'!$B$71</definedName>
    <definedName name="Calendario6Mes" localSheetId="2">'Calendario Detallado 2020'!$C$71</definedName>
    <definedName name="Calendario6Mes" localSheetId="3">'Calendario Detallado 2026'!$C$71</definedName>
    <definedName name="Calendario6Mes">'Calendario Detallado'!$C$71</definedName>
    <definedName name="Calendario6MesOpción" localSheetId="2">MATCH('Calendario Detallado 2020'!Calendario6Mes,Meses,0)</definedName>
    <definedName name="Calendario6MesOpción" localSheetId="3">MATCH('Calendario Detallado 2026'!Calendario6Mes,Meses,0)</definedName>
    <definedName name="Calendario6MesOpción">MATCH(Calendario6Mes,Meses,0)</definedName>
    <definedName name="Calendario7Año" localSheetId="2">'Calendario Detallado 2020'!$B$85</definedName>
    <definedName name="Calendario7Año" localSheetId="3">'Calendario Detallado 2026'!$B$85</definedName>
    <definedName name="Calendario7Año">'Calendario Detallado'!$B$85</definedName>
    <definedName name="Calendario7Mes" localSheetId="2">'Calendario Detallado 2020'!$C$85</definedName>
    <definedName name="Calendario7Mes" localSheetId="3">'Calendario Detallado 2026'!$C$85</definedName>
    <definedName name="Calendario7Mes">'Calendario Detallado'!$C$85</definedName>
    <definedName name="Calendario7MesOpción" localSheetId="2">MATCH('Calendario Detallado 2020'!Calendario7Mes,Meses,0)</definedName>
    <definedName name="Calendario7MesOpción" localSheetId="3">MATCH('Calendario Detallado 2026'!Calendario7Mes,Meses,0)</definedName>
    <definedName name="Calendario7MesOpción">MATCH(Calendario7Mes,Meses,0)</definedName>
    <definedName name="Calendario8Año" localSheetId="2">'Calendario Detallado 2020'!$B$99</definedName>
    <definedName name="Calendario8Año" localSheetId="3">'Calendario Detallado 2026'!$B$99</definedName>
    <definedName name="Calendario8Año">'Calendario Detallado'!$B$99</definedName>
    <definedName name="Calendario8Mes" localSheetId="2">'Calendario Detallado 2020'!$C$99</definedName>
    <definedName name="Calendario8Mes" localSheetId="3">'Calendario Detallado 2026'!$C$99</definedName>
    <definedName name="Calendario8Mes">'Calendario Detallado'!$C$99</definedName>
    <definedName name="Calendario8MesOpción" localSheetId="2">MATCH('Calendario Detallado 2020'!Calendario8Mes,Meses,0)</definedName>
    <definedName name="Calendario8MesOpción" localSheetId="3">MATCH('Calendario Detallado 2026'!Calendario8Mes,Meses,0)</definedName>
    <definedName name="Calendario8MesOpción">MATCH(Calendario8Mes,Meses,0)</definedName>
    <definedName name="Calendario9Año" localSheetId="2">'Calendario Detallado 2020'!$B$113</definedName>
    <definedName name="Calendario9Año" localSheetId="3">'Calendario Detallado 2026'!$B$113</definedName>
    <definedName name="Calendario9Año">'Calendario Detallado'!$B$113</definedName>
    <definedName name="Calendario9Mes" localSheetId="2">'Calendario Detallado 2020'!$C$113</definedName>
    <definedName name="Calendario9Mes" localSheetId="3">'Calendario Detallado 2026'!$C$113</definedName>
    <definedName name="Calendario9Mes">'Calendario Detallado'!$C$113</definedName>
    <definedName name="Calendario9MesOpción" localSheetId="2">MATCH('Calendario Detallado 2020'!Calendario9Mes,Meses,0)</definedName>
    <definedName name="Calendario9MesOpción" localSheetId="3">MATCH('Calendario Detallado 2026'!Calendario9Mes,Meses,0)</definedName>
    <definedName name="Calendario9MesOpción">MATCH(Calendario9Mes,Meses,0)</definedName>
    <definedName name="DíaDeLaSemanaOpción" localSheetId="2">MATCH('Calendario Detallado 2020'!InicioDeSemana,DíasDeLaSemana,0)+10</definedName>
    <definedName name="DíaDeLaSemanaOpción" localSheetId="3">MATCH('Calendario Detallado 2026'!InicioDeSemana,DíasDeLaSemana,0)+10</definedName>
    <definedName name="DíaDeLaSemanaOpción">MATCH(InicioDeSemana,DíasDeLaSemana,0)+10</definedName>
    <definedName name="Días">{0,1,2,3,4,5,6}</definedName>
    <definedName name="DíasDeLaSemana">{"LUNES","MARTES","MIÉRCOLES","JUEVES","VIERNES","SÁBADO","DOMINGO"}</definedName>
    <definedName name="InicioDeSemana" localSheetId="2">'Calendario Detallado 2020'!$B$2</definedName>
    <definedName name="InicioDeSemana" localSheetId="3">'Calendario Detallado 2026'!$B$2</definedName>
    <definedName name="InicioDeSemana">'Calendario Detallado'!$B$2</definedName>
    <definedName name="Meses">{"Enero","Febrero","Marzo","Abril","Mayo","Junio","Julio","Agosto","Septiembre","Octubre","Noviembre","Diciembre"}</definedName>
    <definedName name="ValorDeInicioDeSemana" localSheetId="2">IF('Calendario Detallado 2020'!InicioDeSemana="LUNES",2,1)</definedName>
    <definedName name="ValorDeInicioDeSemana" localSheetId="3">IF('Calendario Detallado 2026'!InicioDeSemana="LUNES",2,1)</definedName>
    <definedName name="ValorDeInicioDeSemana">IF(InicioDeSemana="LUNES",2,1)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15" i="18" l="1"/>
  <c r="B15" i="18"/>
  <c r="B13" i="18" a="1"/>
  <c r="B13" i="18" s="1"/>
  <c r="B11" i="18" a="1"/>
  <c r="B9" i="18" a="1"/>
  <c r="B7" i="18" a="1"/>
  <c r="B5" i="18" a="1"/>
  <c r="B3" i="18" a="1"/>
  <c r="C15" i="17"/>
  <c r="B15" i="17"/>
  <c r="B13" i="17" a="1"/>
  <c r="B13" i="17" s="1"/>
  <c r="B11" i="17" a="1"/>
  <c r="H11" i="17" s="1"/>
  <c r="B9" i="17" a="1"/>
  <c r="H9" i="17" s="1"/>
  <c r="B7" i="17" a="1"/>
  <c r="H7" i="17" s="1"/>
  <c r="B5" i="17" a="1"/>
  <c r="H5" i="17" s="1"/>
  <c r="B3" i="17" a="1"/>
  <c r="G3" i="17" s="1"/>
  <c r="G2" i="17" s="1"/>
  <c r="B29" i="18" l="1"/>
  <c r="C29" i="18"/>
  <c r="B43" i="18" s="1"/>
  <c r="H3" i="18"/>
  <c r="H2" i="18" s="1"/>
  <c r="F3" i="18"/>
  <c r="F2" i="18" s="1"/>
  <c r="D3" i="18"/>
  <c r="D2" i="18" s="1"/>
  <c r="B3" i="18"/>
  <c r="E3" i="18"/>
  <c r="E2" i="18" s="1"/>
  <c r="H5" i="18"/>
  <c r="F5" i="18"/>
  <c r="D5" i="18"/>
  <c r="B5" i="18"/>
  <c r="E5" i="18"/>
  <c r="H7" i="18"/>
  <c r="F7" i="18"/>
  <c r="D7" i="18"/>
  <c r="B7" i="18"/>
  <c r="E7" i="18"/>
  <c r="H9" i="18"/>
  <c r="F9" i="18"/>
  <c r="D9" i="18"/>
  <c r="B9" i="18"/>
  <c r="E9" i="18"/>
  <c r="H11" i="18"/>
  <c r="F11" i="18"/>
  <c r="D11" i="18"/>
  <c r="B11" i="18"/>
  <c r="G11" i="18"/>
  <c r="E11" i="18"/>
  <c r="C43" i="18"/>
  <c r="B35" i="18" a="1"/>
  <c r="B31" i="18" a="1"/>
  <c r="C3" i="18"/>
  <c r="C2" i="18" s="1"/>
  <c r="G3" i="18"/>
  <c r="G2" i="18" s="1"/>
  <c r="C5" i="18"/>
  <c r="G5" i="18"/>
  <c r="C7" i="18"/>
  <c r="G7" i="18"/>
  <c r="C9" i="18"/>
  <c r="G9" i="18"/>
  <c r="C11" i="18"/>
  <c r="C13" i="18"/>
  <c r="B17" i="18" a="1"/>
  <c r="B19" i="18" a="1"/>
  <c r="B21" i="18" a="1"/>
  <c r="B23" i="18" a="1"/>
  <c r="B25" i="18" a="1"/>
  <c r="B27" i="18" a="1"/>
  <c r="C29" i="17"/>
  <c r="C5" i="17"/>
  <c r="E5" i="17"/>
  <c r="G5" i="17"/>
  <c r="C7" i="17"/>
  <c r="E7" i="17"/>
  <c r="G7" i="17"/>
  <c r="C9" i="17"/>
  <c r="E9" i="17"/>
  <c r="G9" i="17"/>
  <c r="C11" i="17"/>
  <c r="E11" i="17"/>
  <c r="G11" i="17"/>
  <c r="C13" i="17"/>
  <c r="B3" i="17"/>
  <c r="D3" i="17"/>
  <c r="D2" i="17" s="1"/>
  <c r="F3" i="17"/>
  <c r="F2" i="17" s="1"/>
  <c r="H3" i="17"/>
  <c r="H2" i="17" s="1"/>
  <c r="B5" i="17"/>
  <c r="D5" i="17"/>
  <c r="F5" i="17"/>
  <c r="B7" i="17"/>
  <c r="D7" i="17"/>
  <c r="F7" i="17"/>
  <c r="B9" i="17"/>
  <c r="D9" i="17"/>
  <c r="F9" i="17"/>
  <c r="B11" i="17"/>
  <c r="D11" i="17"/>
  <c r="F11" i="17"/>
  <c r="B29" i="17"/>
  <c r="C3" i="17"/>
  <c r="C2" i="17" s="1"/>
  <c r="E3" i="17"/>
  <c r="E2" i="17" s="1"/>
  <c r="B17" i="17" a="1"/>
  <c r="B19" i="17" a="1"/>
  <c r="B21" i="17" a="1"/>
  <c r="B23" i="17" a="1"/>
  <c r="B25" i="17" a="1"/>
  <c r="B27" i="17" a="1"/>
  <c r="B3" i="14" a="1"/>
  <c r="B3" i="14" s="1"/>
  <c r="B5" i="14" a="1"/>
  <c r="B5" i="14" s="1"/>
  <c r="B7" i="14" a="1"/>
  <c r="B7" i="14" s="1"/>
  <c r="B9" i="14" a="1"/>
  <c r="B9" i="14" s="1"/>
  <c r="B11" i="14" a="1"/>
  <c r="B11" i="14" s="1"/>
  <c r="B13" i="14" a="1"/>
  <c r="B13" i="14" s="1"/>
  <c r="B39" i="18" l="1" a="1"/>
  <c r="G39" i="18" s="1"/>
  <c r="H5" i="14"/>
  <c r="B33" i="18" a="1"/>
  <c r="H33" i="18" s="1"/>
  <c r="B41" i="18" a="1"/>
  <c r="B41" i="18" s="1"/>
  <c r="G5" i="14"/>
  <c r="B37" i="18" a="1"/>
  <c r="C37" i="18" s="1"/>
  <c r="C9" i="14"/>
  <c r="B27" i="18"/>
  <c r="C27" i="18"/>
  <c r="H23" i="18"/>
  <c r="F23" i="18"/>
  <c r="D23" i="18"/>
  <c r="B23" i="18"/>
  <c r="G23" i="18"/>
  <c r="E23" i="18"/>
  <c r="C23" i="18"/>
  <c r="H19" i="18"/>
  <c r="F19" i="18"/>
  <c r="D19" i="18"/>
  <c r="B19" i="18"/>
  <c r="G19" i="18"/>
  <c r="E19" i="18"/>
  <c r="C19" i="18"/>
  <c r="H31" i="18"/>
  <c r="H30" i="18" s="1"/>
  <c r="F31" i="18"/>
  <c r="F30" i="18" s="1"/>
  <c r="D31" i="18"/>
  <c r="D30" i="18" s="1"/>
  <c r="B31" i="18"/>
  <c r="B30" i="18" s="1"/>
  <c r="G31" i="18"/>
  <c r="G30" i="18" s="1"/>
  <c r="E31" i="18"/>
  <c r="E30" i="18" s="1"/>
  <c r="C31" i="18"/>
  <c r="C30" i="18" s="1"/>
  <c r="H35" i="18"/>
  <c r="F35" i="18"/>
  <c r="D35" i="18"/>
  <c r="B35" i="18"/>
  <c r="G35" i="18"/>
  <c r="E35" i="18"/>
  <c r="C35" i="18"/>
  <c r="H39" i="18"/>
  <c r="D39" i="18"/>
  <c r="B39" i="18"/>
  <c r="E39" i="18"/>
  <c r="C39" i="18"/>
  <c r="H9" i="14"/>
  <c r="G9" i="14"/>
  <c r="C5" i="14"/>
  <c r="H25" i="18"/>
  <c r="F25" i="18"/>
  <c r="D25" i="18"/>
  <c r="B25" i="18"/>
  <c r="G25" i="18"/>
  <c r="E25" i="18"/>
  <c r="C25" i="18"/>
  <c r="H21" i="18"/>
  <c r="F21" i="18"/>
  <c r="D21" i="18"/>
  <c r="B21" i="18"/>
  <c r="G21" i="18"/>
  <c r="E21" i="18"/>
  <c r="C21" i="18"/>
  <c r="H17" i="18"/>
  <c r="H16" i="18" s="1"/>
  <c r="F17" i="18"/>
  <c r="F16" i="18" s="1"/>
  <c r="D17" i="18"/>
  <c r="D16" i="18" s="1"/>
  <c r="B17" i="18"/>
  <c r="B16" i="18" s="1"/>
  <c r="G17" i="18"/>
  <c r="G16" i="18" s="1"/>
  <c r="E17" i="18"/>
  <c r="E16" i="18" s="1"/>
  <c r="C17" i="18"/>
  <c r="C16" i="18" s="1"/>
  <c r="F33" i="18"/>
  <c r="D33" i="18"/>
  <c r="B33" i="18"/>
  <c r="G33" i="18"/>
  <c r="E33" i="18"/>
  <c r="C33" i="18"/>
  <c r="H37" i="18"/>
  <c r="D37" i="18"/>
  <c r="B37" i="18"/>
  <c r="G37" i="18"/>
  <c r="E37" i="18"/>
  <c r="C41" i="18"/>
  <c r="B57" i="18"/>
  <c r="C57" i="18"/>
  <c r="B55" i="18" a="1"/>
  <c r="B53" i="18" a="1"/>
  <c r="B51" i="18" a="1"/>
  <c r="B49" i="18" a="1"/>
  <c r="B47" i="18" a="1"/>
  <c r="B45" i="18" a="1"/>
  <c r="E11" i="14"/>
  <c r="E7" i="14"/>
  <c r="E3" i="14"/>
  <c r="E2" i="14" s="1"/>
  <c r="C27" i="17"/>
  <c r="B27" i="17"/>
  <c r="G23" i="17"/>
  <c r="E23" i="17"/>
  <c r="C23" i="17"/>
  <c r="H23" i="17"/>
  <c r="F23" i="17"/>
  <c r="D23" i="17"/>
  <c r="B23" i="17"/>
  <c r="G19" i="17"/>
  <c r="E19" i="17"/>
  <c r="C19" i="17"/>
  <c r="H19" i="17"/>
  <c r="F19" i="17"/>
  <c r="D19" i="17"/>
  <c r="B19" i="17"/>
  <c r="C43" i="17"/>
  <c r="B41" i="17" a="1"/>
  <c r="B39" i="17" a="1"/>
  <c r="B37" i="17" a="1"/>
  <c r="B35" i="17" a="1"/>
  <c r="B33" i="17" a="1"/>
  <c r="B31" i="17" a="1"/>
  <c r="B43" i="17"/>
  <c r="H11" i="14"/>
  <c r="G11" i="14"/>
  <c r="C11" i="14"/>
  <c r="E9" i="14"/>
  <c r="H7" i="14"/>
  <c r="G7" i="14"/>
  <c r="C7" i="14"/>
  <c r="E5" i="14"/>
  <c r="H3" i="14"/>
  <c r="H2" i="14" s="1"/>
  <c r="G3" i="14"/>
  <c r="G2" i="14" s="1"/>
  <c r="C3" i="14"/>
  <c r="C2" i="14" s="1"/>
  <c r="G25" i="17"/>
  <c r="E25" i="17"/>
  <c r="C25" i="17"/>
  <c r="H25" i="17"/>
  <c r="F25" i="17"/>
  <c r="D25" i="17"/>
  <c r="B25" i="17"/>
  <c r="G21" i="17"/>
  <c r="E21" i="17"/>
  <c r="C21" i="17"/>
  <c r="H21" i="17"/>
  <c r="F21" i="17"/>
  <c r="D21" i="17"/>
  <c r="B21" i="17"/>
  <c r="G17" i="17"/>
  <c r="G16" i="17" s="1"/>
  <c r="E17" i="17"/>
  <c r="E16" i="17" s="1"/>
  <c r="C17" i="17"/>
  <c r="C16" i="17" s="1"/>
  <c r="H17" i="17"/>
  <c r="H16" i="17" s="1"/>
  <c r="F17" i="17"/>
  <c r="F16" i="17" s="1"/>
  <c r="D17" i="17"/>
  <c r="D16" i="17" s="1"/>
  <c r="B17" i="17"/>
  <c r="B16" i="17" s="1"/>
  <c r="C13" i="14"/>
  <c r="F11" i="14"/>
  <c r="D11" i="14"/>
  <c r="F9" i="14"/>
  <c r="D9" i="14"/>
  <c r="F7" i="14"/>
  <c r="D7" i="14"/>
  <c r="F5" i="14"/>
  <c r="D5" i="14"/>
  <c r="F3" i="14"/>
  <c r="F2" i="14" s="1"/>
  <c r="D3" i="14"/>
  <c r="D2" i="14" s="1"/>
  <c r="C15" i="14"/>
  <c r="B15" i="14"/>
  <c r="F39" i="18" l="1"/>
  <c r="F37" i="18"/>
  <c r="H45" i="18"/>
  <c r="H44" i="18" s="1"/>
  <c r="F45" i="18"/>
  <c r="F44" i="18" s="1"/>
  <c r="D45" i="18"/>
  <c r="D44" i="18" s="1"/>
  <c r="B45" i="18"/>
  <c r="B44" i="18" s="1"/>
  <c r="G45" i="18"/>
  <c r="G44" i="18" s="1"/>
  <c r="E45" i="18"/>
  <c r="E44" i="18" s="1"/>
  <c r="C45" i="18"/>
  <c r="C44" i="18" s="1"/>
  <c r="H49" i="18"/>
  <c r="F49" i="18"/>
  <c r="D49" i="18"/>
  <c r="B49" i="18"/>
  <c r="G49" i="18"/>
  <c r="E49" i="18"/>
  <c r="C49" i="18"/>
  <c r="H53" i="18"/>
  <c r="F53" i="18"/>
  <c r="D53" i="18"/>
  <c r="E53" i="18"/>
  <c r="B53" i="18"/>
  <c r="G53" i="18"/>
  <c r="C53" i="18"/>
  <c r="H47" i="18"/>
  <c r="F47" i="18"/>
  <c r="D47" i="18"/>
  <c r="B47" i="18"/>
  <c r="G47" i="18"/>
  <c r="E47" i="18"/>
  <c r="C47" i="18"/>
  <c r="H51" i="18"/>
  <c r="F51" i="18"/>
  <c r="D51" i="18"/>
  <c r="B51" i="18"/>
  <c r="G51" i="18"/>
  <c r="E51" i="18"/>
  <c r="C51" i="18"/>
  <c r="B55" i="18"/>
  <c r="C55" i="18"/>
  <c r="B71" i="18"/>
  <c r="C71" i="18"/>
  <c r="B69" i="18" a="1"/>
  <c r="B67" i="18" a="1"/>
  <c r="B65" i="18" a="1"/>
  <c r="B63" i="18" a="1"/>
  <c r="B61" i="18" a="1"/>
  <c r="B59" i="18" a="1"/>
  <c r="G31" i="17"/>
  <c r="G30" i="17" s="1"/>
  <c r="E31" i="17"/>
  <c r="E30" i="17" s="1"/>
  <c r="C31" i="17"/>
  <c r="C30" i="17" s="1"/>
  <c r="H31" i="17"/>
  <c r="H30" i="17" s="1"/>
  <c r="F31" i="17"/>
  <c r="F30" i="17" s="1"/>
  <c r="D31" i="17"/>
  <c r="D30" i="17" s="1"/>
  <c r="B31" i="17"/>
  <c r="B30" i="17" s="1"/>
  <c r="G35" i="17"/>
  <c r="E35" i="17"/>
  <c r="C35" i="17"/>
  <c r="H35" i="17"/>
  <c r="F35" i="17"/>
  <c r="D35" i="17"/>
  <c r="B35" i="17"/>
  <c r="G39" i="17"/>
  <c r="E39" i="17"/>
  <c r="C39" i="17"/>
  <c r="H39" i="17"/>
  <c r="F39" i="17"/>
  <c r="D39" i="17"/>
  <c r="B39" i="17"/>
  <c r="B57" i="17"/>
  <c r="B55" i="17" a="1"/>
  <c r="B53" i="17" a="1"/>
  <c r="B51" i="17" a="1"/>
  <c r="B49" i="17" a="1"/>
  <c r="B47" i="17" a="1"/>
  <c r="B45" i="17" a="1"/>
  <c r="C57" i="17"/>
  <c r="G33" i="17"/>
  <c r="E33" i="17"/>
  <c r="C33" i="17"/>
  <c r="H33" i="17"/>
  <c r="F33" i="17"/>
  <c r="D33" i="17"/>
  <c r="B33" i="17"/>
  <c r="G37" i="17"/>
  <c r="E37" i="17"/>
  <c r="C37" i="17"/>
  <c r="H37" i="17"/>
  <c r="F37" i="17"/>
  <c r="D37" i="17"/>
  <c r="B37" i="17"/>
  <c r="C41" i="17"/>
  <c r="B41" i="17"/>
  <c r="C29" i="14"/>
  <c r="B29" i="14"/>
  <c r="B27" i="14" a="1"/>
  <c r="B25" i="14" a="1"/>
  <c r="B23" i="14" a="1"/>
  <c r="B21" i="14" a="1"/>
  <c r="B19" i="14" a="1"/>
  <c r="B17" i="14" a="1"/>
  <c r="H61" i="18" l="1"/>
  <c r="F61" i="18"/>
  <c r="D61" i="18"/>
  <c r="B61" i="18"/>
  <c r="E61" i="18"/>
  <c r="G61" i="18"/>
  <c r="C61" i="18"/>
  <c r="H65" i="18"/>
  <c r="F65" i="18"/>
  <c r="D65" i="18"/>
  <c r="B65" i="18"/>
  <c r="E65" i="18"/>
  <c r="G65" i="18"/>
  <c r="C65" i="18"/>
  <c r="B69" i="18"/>
  <c r="C69" i="18"/>
  <c r="B85" i="18"/>
  <c r="C85" i="18"/>
  <c r="B83" i="18" a="1"/>
  <c r="B81" i="18" a="1"/>
  <c r="B79" i="18" a="1"/>
  <c r="B77" i="18" a="1"/>
  <c r="B75" i="18" a="1"/>
  <c r="B73" i="18" a="1"/>
  <c r="H59" i="18"/>
  <c r="H58" i="18" s="1"/>
  <c r="F59" i="18"/>
  <c r="F58" i="18" s="1"/>
  <c r="D59" i="18"/>
  <c r="D58" i="18" s="1"/>
  <c r="B59" i="18"/>
  <c r="B58" i="18" s="1"/>
  <c r="E59" i="18"/>
  <c r="E58" i="18" s="1"/>
  <c r="G59" i="18"/>
  <c r="G58" i="18" s="1"/>
  <c r="C59" i="18"/>
  <c r="C58" i="18" s="1"/>
  <c r="H63" i="18"/>
  <c r="F63" i="18"/>
  <c r="D63" i="18"/>
  <c r="B63" i="18"/>
  <c r="E63" i="18"/>
  <c r="G63" i="18"/>
  <c r="C63" i="18"/>
  <c r="H67" i="18"/>
  <c r="F67" i="18"/>
  <c r="D67" i="18"/>
  <c r="B67" i="18"/>
  <c r="E67" i="18"/>
  <c r="G67" i="18"/>
  <c r="C67" i="18"/>
  <c r="G45" i="17"/>
  <c r="G44" i="17" s="1"/>
  <c r="E45" i="17"/>
  <c r="E44" i="17" s="1"/>
  <c r="C45" i="17"/>
  <c r="C44" i="17" s="1"/>
  <c r="H45" i="17"/>
  <c r="H44" i="17" s="1"/>
  <c r="F45" i="17"/>
  <c r="F44" i="17" s="1"/>
  <c r="D45" i="17"/>
  <c r="D44" i="17" s="1"/>
  <c r="B45" i="17"/>
  <c r="B44" i="17" s="1"/>
  <c r="G49" i="17"/>
  <c r="E49" i="17"/>
  <c r="C49" i="17"/>
  <c r="H49" i="17"/>
  <c r="F49" i="17"/>
  <c r="D49" i="17"/>
  <c r="B49" i="17"/>
  <c r="H53" i="17"/>
  <c r="F53" i="17"/>
  <c r="D53" i="17"/>
  <c r="B53" i="17"/>
  <c r="G53" i="17"/>
  <c r="C53" i="17"/>
  <c r="E53" i="17"/>
  <c r="B71" i="17"/>
  <c r="C71" i="17"/>
  <c r="B69" i="17" a="1"/>
  <c r="B67" i="17" a="1"/>
  <c r="B65" i="17" a="1"/>
  <c r="B63" i="17" a="1"/>
  <c r="B61" i="17" a="1"/>
  <c r="B59" i="17" a="1"/>
  <c r="G47" i="17"/>
  <c r="E47" i="17"/>
  <c r="C47" i="17"/>
  <c r="H47" i="17"/>
  <c r="F47" i="17"/>
  <c r="D47" i="17"/>
  <c r="B47" i="17"/>
  <c r="G51" i="17"/>
  <c r="E51" i="17"/>
  <c r="C51" i="17"/>
  <c r="H51" i="17"/>
  <c r="F51" i="17"/>
  <c r="D51" i="17"/>
  <c r="B51" i="17"/>
  <c r="B55" i="17"/>
  <c r="C55" i="17"/>
  <c r="C43" i="14"/>
  <c r="B43" i="14"/>
  <c r="B41" i="14" a="1"/>
  <c r="B39" i="14" a="1"/>
  <c r="B37" i="14" a="1"/>
  <c r="B35" i="14" a="1"/>
  <c r="B33" i="14" a="1"/>
  <c r="B31" i="14" a="1"/>
  <c r="H17" i="14"/>
  <c r="H16" i="14" s="1"/>
  <c r="G17" i="14"/>
  <c r="G16" i="14" s="1"/>
  <c r="F17" i="14"/>
  <c r="F16" i="14" s="1"/>
  <c r="E17" i="14"/>
  <c r="E16" i="14" s="1"/>
  <c r="D17" i="14"/>
  <c r="D16" i="14" s="1"/>
  <c r="C17" i="14"/>
  <c r="C16" i="14" s="1"/>
  <c r="B17" i="14"/>
  <c r="B16" i="14" s="1"/>
  <c r="H19" i="14"/>
  <c r="G19" i="14"/>
  <c r="F19" i="14"/>
  <c r="E19" i="14"/>
  <c r="D19" i="14"/>
  <c r="C19" i="14"/>
  <c r="B19" i="14"/>
  <c r="H21" i="14"/>
  <c r="G21" i="14"/>
  <c r="F21" i="14"/>
  <c r="E21" i="14"/>
  <c r="D21" i="14"/>
  <c r="C21" i="14"/>
  <c r="B21" i="14"/>
  <c r="H23" i="14"/>
  <c r="G23" i="14"/>
  <c r="F23" i="14"/>
  <c r="E23" i="14"/>
  <c r="D23" i="14"/>
  <c r="C23" i="14"/>
  <c r="B23" i="14"/>
  <c r="H25" i="14"/>
  <c r="G25" i="14"/>
  <c r="F25" i="14"/>
  <c r="E25" i="14"/>
  <c r="D25" i="14"/>
  <c r="C25" i="14"/>
  <c r="B25" i="14"/>
  <c r="C27" i="14"/>
  <c r="B27" i="14"/>
  <c r="H73" i="18" l="1"/>
  <c r="H72" i="18" s="1"/>
  <c r="F73" i="18"/>
  <c r="F72" i="18" s="1"/>
  <c r="D73" i="18"/>
  <c r="D72" i="18" s="1"/>
  <c r="B73" i="18"/>
  <c r="B72" i="18" s="1"/>
  <c r="E73" i="18"/>
  <c r="E72" i="18" s="1"/>
  <c r="G73" i="18"/>
  <c r="G72" i="18" s="1"/>
  <c r="C73" i="18"/>
  <c r="C72" i="18" s="1"/>
  <c r="H77" i="18"/>
  <c r="F77" i="18"/>
  <c r="D77" i="18"/>
  <c r="B77" i="18"/>
  <c r="E77" i="18"/>
  <c r="G77" i="18"/>
  <c r="C77" i="18"/>
  <c r="H81" i="18"/>
  <c r="F81" i="18"/>
  <c r="D81" i="18"/>
  <c r="B81" i="18"/>
  <c r="E81" i="18"/>
  <c r="G81" i="18"/>
  <c r="C81" i="18"/>
  <c r="H75" i="18"/>
  <c r="F75" i="18"/>
  <c r="D75" i="18"/>
  <c r="B75" i="18"/>
  <c r="E75" i="18"/>
  <c r="G75" i="18"/>
  <c r="C75" i="18"/>
  <c r="H79" i="18"/>
  <c r="F79" i="18"/>
  <c r="D79" i="18"/>
  <c r="B79" i="18"/>
  <c r="E79" i="18"/>
  <c r="G79" i="18"/>
  <c r="C79" i="18"/>
  <c r="B83" i="18"/>
  <c r="C83" i="18"/>
  <c r="B99" i="18"/>
  <c r="C99" i="18"/>
  <c r="B97" i="18" a="1"/>
  <c r="B95" i="18" a="1"/>
  <c r="B93" i="18" a="1"/>
  <c r="B91" i="18" a="1"/>
  <c r="B89" i="18" a="1"/>
  <c r="B87" i="18" a="1"/>
  <c r="H61" i="17"/>
  <c r="F61" i="17"/>
  <c r="D61" i="17"/>
  <c r="B61" i="17"/>
  <c r="G61" i="17"/>
  <c r="C61" i="17"/>
  <c r="E61" i="17"/>
  <c r="H65" i="17"/>
  <c r="F65" i="17"/>
  <c r="D65" i="17"/>
  <c r="B65" i="17"/>
  <c r="G65" i="17"/>
  <c r="C65" i="17"/>
  <c r="E65" i="17"/>
  <c r="B69" i="17"/>
  <c r="C69" i="17"/>
  <c r="B85" i="17"/>
  <c r="B83" i="17" a="1"/>
  <c r="B81" i="17" a="1"/>
  <c r="B79" i="17" a="1"/>
  <c r="B77" i="17" a="1"/>
  <c r="B75" i="17" a="1"/>
  <c r="B73" i="17" a="1"/>
  <c r="C85" i="17"/>
  <c r="H59" i="17"/>
  <c r="H58" i="17" s="1"/>
  <c r="F59" i="17"/>
  <c r="F58" i="17" s="1"/>
  <c r="D59" i="17"/>
  <c r="D58" i="17" s="1"/>
  <c r="B59" i="17"/>
  <c r="B58" i="17" s="1"/>
  <c r="G59" i="17"/>
  <c r="G58" i="17" s="1"/>
  <c r="C59" i="17"/>
  <c r="C58" i="17" s="1"/>
  <c r="E59" i="17"/>
  <c r="E58" i="17" s="1"/>
  <c r="H63" i="17"/>
  <c r="F63" i="17"/>
  <c r="D63" i="17"/>
  <c r="B63" i="17"/>
  <c r="G63" i="17"/>
  <c r="C63" i="17"/>
  <c r="E63" i="17"/>
  <c r="H67" i="17"/>
  <c r="F67" i="17"/>
  <c r="D67" i="17"/>
  <c r="B67" i="17"/>
  <c r="G67" i="17"/>
  <c r="C67" i="17"/>
  <c r="E67" i="17"/>
  <c r="C57" i="14"/>
  <c r="B57" i="14"/>
  <c r="B55" i="14" a="1"/>
  <c r="B53" i="14" a="1"/>
  <c r="B51" i="14" a="1"/>
  <c r="B49" i="14" a="1"/>
  <c r="B47" i="14" a="1"/>
  <c r="B45" i="14" a="1"/>
  <c r="H31" i="14"/>
  <c r="H30" i="14" s="1"/>
  <c r="G31" i="14"/>
  <c r="G30" i="14" s="1"/>
  <c r="F31" i="14"/>
  <c r="F30" i="14" s="1"/>
  <c r="E31" i="14"/>
  <c r="E30" i="14" s="1"/>
  <c r="D31" i="14"/>
  <c r="D30" i="14" s="1"/>
  <c r="C31" i="14"/>
  <c r="C30" i="14" s="1"/>
  <c r="B31" i="14"/>
  <c r="B30" i="14" s="1"/>
  <c r="H33" i="14"/>
  <c r="G33" i="14"/>
  <c r="F33" i="14"/>
  <c r="E33" i="14"/>
  <c r="D33" i="14"/>
  <c r="C33" i="14"/>
  <c r="B33" i="14"/>
  <c r="H35" i="14"/>
  <c r="G35" i="14"/>
  <c r="F35" i="14"/>
  <c r="E35" i="14"/>
  <c r="D35" i="14"/>
  <c r="C35" i="14"/>
  <c r="B35" i="14"/>
  <c r="H37" i="14"/>
  <c r="G37" i="14"/>
  <c r="F37" i="14"/>
  <c r="E37" i="14"/>
  <c r="D37" i="14"/>
  <c r="C37" i="14"/>
  <c r="B37" i="14"/>
  <c r="H39" i="14"/>
  <c r="G39" i="14"/>
  <c r="F39" i="14"/>
  <c r="E39" i="14"/>
  <c r="D39" i="14"/>
  <c r="C39" i="14"/>
  <c r="B39" i="14"/>
  <c r="C41" i="14"/>
  <c r="B41" i="14"/>
  <c r="H89" i="18" l="1"/>
  <c r="F89" i="18"/>
  <c r="D89" i="18"/>
  <c r="B89" i="18"/>
  <c r="E89" i="18"/>
  <c r="G89" i="18"/>
  <c r="C89" i="18"/>
  <c r="H93" i="18"/>
  <c r="F93" i="18"/>
  <c r="D93" i="18"/>
  <c r="B93" i="18"/>
  <c r="E93" i="18"/>
  <c r="G93" i="18"/>
  <c r="C93" i="18"/>
  <c r="B97" i="18"/>
  <c r="C97" i="18"/>
  <c r="B113" i="18"/>
  <c r="C113" i="18"/>
  <c r="B111" i="18" a="1"/>
  <c r="B109" i="18" a="1"/>
  <c r="B107" i="18" a="1"/>
  <c r="B105" i="18" a="1"/>
  <c r="B103" i="18" a="1"/>
  <c r="B101" i="18" a="1"/>
  <c r="H87" i="18"/>
  <c r="H86" i="18" s="1"/>
  <c r="F87" i="18"/>
  <c r="F86" i="18" s="1"/>
  <c r="D87" i="18"/>
  <c r="D86" i="18" s="1"/>
  <c r="B87" i="18"/>
  <c r="B86" i="18" s="1"/>
  <c r="E87" i="18"/>
  <c r="E86" i="18" s="1"/>
  <c r="G87" i="18"/>
  <c r="G86" i="18" s="1"/>
  <c r="C87" i="18"/>
  <c r="C86" i="18" s="1"/>
  <c r="H91" i="18"/>
  <c r="F91" i="18"/>
  <c r="D91" i="18"/>
  <c r="B91" i="18"/>
  <c r="E91" i="18"/>
  <c r="G91" i="18"/>
  <c r="C91" i="18"/>
  <c r="H95" i="18"/>
  <c r="F95" i="18"/>
  <c r="D95" i="18"/>
  <c r="B95" i="18"/>
  <c r="E95" i="18"/>
  <c r="G95" i="18"/>
  <c r="C95" i="18"/>
  <c r="H75" i="17"/>
  <c r="F75" i="17"/>
  <c r="D75" i="17"/>
  <c r="B75" i="17"/>
  <c r="G75" i="17"/>
  <c r="C75" i="17"/>
  <c r="E75" i="17"/>
  <c r="H79" i="17"/>
  <c r="F79" i="17"/>
  <c r="D79" i="17"/>
  <c r="B79" i="17"/>
  <c r="G79" i="17"/>
  <c r="C79" i="17"/>
  <c r="E79" i="17"/>
  <c r="B83" i="17"/>
  <c r="C83" i="17"/>
  <c r="H73" i="17"/>
  <c r="H72" i="17" s="1"/>
  <c r="F73" i="17"/>
  <c r="F72" i="17" s="1"/>
  <c r="D73" i="17"/>
  <c r="D72" i="17" s="1"/>
  <c r="B73" i="17"/>
  <c r="B72" i="17" s="1"/>
  <c r="G73" i="17"/>
  <c r="G72" i="17" s="1"/>
  <c r="C73" i="17"/>
  <c r="C72" i="17" s="1"/>
  <c r="E73" i="17"/>
  <c r="E72" i="17" s="1"/>
  <c r="H77" i="17"/>
  <c r="F77" i="17"/>
  <c r="D77" i="17"/>
  <c r="B77" i="17"/>
  <c r="G77" i="17"/>
  <c r="C77" i="17"/>
  <c r="E77" i="17"/>
  <c r="H81" i="17"/>
  <c r="F81" i="17"/>
  <c r="D81" i="17"/>
  <c r="B81" i="17"/>
  <c r="G81" i="17"/>
  <c r="C81" i="17"/>
  <c r="E81" i="17"/>
  <c r="B99" i="17"/>
  <c r="C99" i="17"/>
  <c r="B97" i="17" a="1"/>
  <c r="B95" i="17" a="1"/>
  <c r="B93" i="17" a="1"/>
  <c r="B91" i="17" a="1"/>
  <c r="B89" i="17" a="1"/>
  <c r="B87" i="17" a="1"/>
  <c r="C71" i="14"/>
  <c r="B71" i="14"/>
  <c r="B69" i="14" a="1"/>
  <c r="B67" i="14" a="1"/>
  <c r="B65" i="14" a="1"/>
  <c r="B63" i="14" a="1"/>
  <c r="B61" i="14" a="1"/>
  <c r="B59" i="14" a="1"/>
  <c r="H45" i="14"/>
  <c r="H44" i="14" s="1"/>
  <c r="G45" i="14"/>
  <c r="G44" i="14" s="1"/>
  <c r="F45" i="14"/>
  <c r="F44" i="14" s="1"/>
  <c r="E45" i="14"/>
  <c r="E44" i="14" s="1"/>
  <c r="D45" i="14"/>
  <c r="D44" i="14" s="1"/>
  <c r="C45" i="14"/>
  <c r="C44" i="14" s="1"/>
  <c r="B45" i="14"/>
  <c r="B44" i="14" s="1"/>
  <c r="H47" i="14"/>
  <c r="G47" i="14"/>
  <c r="F47" i="14"/>
  <c r="E47" i="14"/>
  <c r="D47" i="14"/>
  <c r="C47" i="14"/>
  <c r="B47" i="14"/>
  <c r="H49" i="14"/>
  <c r="G49" i="14"/>
  <c r="F49" i="14"/>
  <c r="E49" i="14"/>
  <c r="D49" i="14"/>
  <c r="C49" i="14"/>
  <c r="B49" i="14"/>
  <c r="H51" i="14"/>
  <c r="G51" i="14"/>
  <c r="F51" i="14"/>
  <c r="E51" i="14"/>
  <c r="D51" i="14"/>
  <c r="C51" i="14"/>
  <c r="B51" i="14"/>
  <c r="H53" i="14"/>
  <c r="G53" i="14"/>
  <c r="F53" i="14"/>
  <c r="E53" i="14"/>
  <c r="D53" i="14"/>
  <c r="C53" i="14"/>
  <c r="B53" i="14"/>
  <c r="C55" i="14"/>
  <c r="B55" i="14"/>
  <c r="H101" i="18" l="1"/>
  <c r="H100" i="18" s="1"/>
  <c r="F101" i="18"/>
  <c r="F100" i="18" s="1"/>
  <c r="D101" i="18"/>
  <c r="D100" i="18" s="1"/>
  <c r="B101" i="18"/>
  <c r="B100" i="18" s="1"/>
  <c r="E101" i="18"/>
  <c r="E100" i="18" s="1"/>
  <c r="G101" i="18"/>
  <c r="G100" i="18" s="1"/>
  <c r="C101" i="18"/>
  <c r="C100" i="18" s="1"/>
  <c r="H105" i="18"/>
  <c r="F105" i="18"/>
  <c r="D105" i="18"/>
  <c r="B105" i="18"/>
  <c r="E105" i="18"/>
  <c r="G105" i="18"/>
  <c r="C105" i="18"/>
  <c r="H109" i="18"/>
  <c r="F109" i="18"/>
  <c r="D109" i="18"/>
  <c r="B109" i="18"/>
  <c r="E109" i="18"/>
  <c r="G109" i="18"/>
  <c r="C109" i="18"/>
  <c r="H103" i="18"/>
  <c r="F103" i="18"/>
  <c r="D103" i="18"/>
  <c r="B103" i="18"/>
  <c r="E103" i="18"/>
  <c r="G103" i="18"/>
  <c r="C103" i="18"/>
  <c r="H107" i="18"/>
  <c r="F107" i="18"/>
  <c r="D107" i="18"/>
  <c r="B107" i="18"/>
  <c r="E107" i="18"/>
  <c r="G107" i="18"/>
  <c r="C107" i="18"/>
  <c r="B111" i="18"/>
  <c r="C111" i="18"/>
  <c r="C127" i="18"/>
  <c r="B125" i="18" a="1"/>
  <c r="B123" i="18" a="1"/>
  <c r="B127" i="18"/>
  <c r="B121" i="18" a="1"/>
  <c r="B119" i="18" a="1"/>
  <c r="B117" i="18" a="1"/>
  <c r="B115" i="18" a="1"/>
  <c r="H89" i="17"/>
  <c r="F89" i="17"/>
  <c r="D89" i="17"/>
  <c r="B89" i="17"/>
  <c r="G89" i="17"/>
  <c r="C89" i="17"/>
  <c r="E89" i="17"/>
  <c r="H93" i="17"/>
  <c r="F93" i="17"/>
  <c r="D93" i="17"/>
  <c r="B93" i="17"/>
  <c r="G93" i="17"/>
  <c r="C93" i="17"/>
  <c r="E93" i="17"/>
  <c r="B97" i="17"/>
  <c r="C97" i="17"/>
  <c r="B113" i="17"/>
  <c r="C113" i="17"/>
  <c r="B111" i="17" a="1"/>
  <c r="B109" i="17" a="1"/>
  <c r="B107" i="17" a="1"/>
  <c r="B105" i="17" a="1"/>
  <c r="B103" i="17" a="1"/>
  <c r="B101" i="17" a="1"/>
  <c r="H87" i="17"/>
  <c r="H86" i="17" s="1"/>
  <c r="F87" i="17"/>
  <c r="F86" i="17" s="1"/>
  <c r="D87" i="17"/>
  <c r="D86" i="17" s="1"/>
  <c r="B87" i="17"/>
  <c r="B86" i="17" s="1"/>
  <c r="G87" i="17"/>
  <c r="G86" i="17" s="1"/>
  <c r="C87" i="17"/>
  <c r="C86" i="17" s="1"/>
  <c r="E87" i="17"/>
  <c r="E86" i="17" s="1"/>
  <c r="H91" i="17"/>
  <c r="F91" i="17"/>
  <c r="D91" i="17"/>
  <c r="B91" i="17"/>
  <c r="G91" i="17"/>
  <c r="C91" i="17"/>
  <c r="E91" i="17"/>
  <c r="H95" i="17"/>
  <c r="F95" i="17"/>
  <c r="D95" i="17"/>
  <c r="B95" i="17"/>
  <c r="G95" i="17"/>
  <c r="C95" i="17"/>
  <c r="E95" i="17"/>
  <c r="C85" i="14"/>
  <c r="B85" i="14"/>
  <c r="B83" i="14" a="1"/>
  <c r="B81" i="14" a="1"/>
  <c r="B79" i="14" a="1"/>
  <c r="B77" i="14" a="1"/>
  <c r="B75" i="14" a="1"/>
  <c r="B73" i="14" a="1"/>
  <c r="H59" i="14"/>
  <c r="H58" i="14" s="1"/>
  <c r="G59" i="14"/>
  <c r="G58" i="14" s="1"/>
  <c r="F59" i="14"/>
  <c r="F58" i="14" s="1"/>
  <c r="E59" i="14"/>
  <c r="E58" i="14" s="1"/>
  <c r="D59" i="14"/>
  <c r="D58" i="14" s="1"/>
  <c r="C59" i="14"/>
  <c r="C58" i="14" s="1"/>
  <c r="B59" i="14"/>
  <c r="B58" i="14" s="1"/>
  <c r="H61" i="14"/>
  <c r="G61" i="14"/>
  <c r="F61" i="14"/>
  <c r="E61" i="14"/>
  <c r="D61" i="14"/>
  <c r="C61" i="14"/>
  <c r="B61" i="14"/>
  <c r="H63" i="14"/>
  <c r="G63" i="14"/>
  <c r="F63" i="14"/>
  <c r="E63" i="14"/>
  <c r="D63" i="14"/>
  <c r="C63" i="14"/>
  <c r="B63" i="14"/>
  <c r="H65" i="14"/>
  <c r="G65" i="14"/>
  <c r="F65" i="14"/>
  <c r="E65" i="14"/>
  <c r="D65" i="14"/>
  <c r="C65" i="14"/>
  <c r="B65" i="14"/>
  <c r="H67" i="14"/>
  <c r="G67" i="14"/>
  <c r="F67" i="14"/>
  <c r="E67" i="14"/>
  <c r="D67" i="14"/>
  <c r="C67" i="14"/>
  <c r="B67" i="14"/>
  <c r="C69" i="14"/>
  <c r="B69" i="14"/>
  <c r="H117" i="18" l="1"/>
  <c r="F117" i="18"/>
  <c r="D117" i="18"/>
  <c r="B117" i="18"/>
  <c r="E117" i="18"/>
  <c r="G117" i="18"/>
  <c r="C117" i="18"/>
  <c r="G121" i="18"/>
  <c r="F121" i="18"/>
  <c r="D121" i="18"/>
  <c r="B121" i="18"/>
  <c r="E121" i="18"/>
  <c r="H121" i="18"/>
  <c r="C121" i="18"/>
  <c r="G123" i="18"/>
  <c r="E123" i="18"/>
  <c r="C123" i="18"/>
  <c r="F123" i="18"/>
  <c r="B123" i="18"/>
  <c r="D123" i="18"/>
  <c r="H123" i="18"/>
  <c r="H115" i="18"/>
  <c r="H114" i="18" s="1"/>
  <c r="F115" i="18"/>
  <c r="F114" i="18" s="1"/>
  <c r="D115" i="18"/>
  <c r="D114" i="18" s="1"/>
  <c r="B115" i="18"/>
  <c r="B114" i="18" s="1"/>
  <c r="E115" i="18"/>
  <c r="E114" i="18" s="1"/>
  <c r="G115" i="18"/>
  <c r="G114" i="18" s="1"/>
  <c r="C115" i="18"/>
  <c r="C114" i="18" s="1"/>
  <c r="H119" i="18"/>
  <c r="F119" i="18"/>
  <c r="D119" i="18"/>
  <c r="B119" i="18"/>
  <c r="E119" i="18"/>
  <c r="G119" i="18"/>
  <c r="C119" i="18"/>
  <c r="C141" i="18"/>
  <c r="B139" i="18" a="1"/>
  <c r="B137" i="18" a="1"/>
  <c r="B135" i="18" a="1"/>
  <c r="B133" i="18" a="1"/>
  <c r="B131" i="18" a="1"/>
  <c r="B129" i="18" a="1"/>
  <c r="B141" i="18"/>
  <c r="C125" i="18"/>
  <c r="B125" i="18"/>
  <c r="H101" i="17"/>
  <c r="H100" i="17" s="1"/>
  <c r="F101" i="17"/>
  <c r="F100" i="17" s="1"/>
  <c r="D101" i="17"/>
  <c r="D100" i="17" s="1"/>
  <c r="B101" i="17"/>
  <c r="B100" i="17" s="1"/>
  <c r="G101" i="17"/>
  <c r="G100" i="17" s="1"/>
  <c r="C101" i="17"/>
  <c r="C100" i="17" s="1"/>
  <c r="E101" i="17"/>
  <c r="E100" i="17" s="1"/>
  <c r="H105" i="17"/>
  <c r="F105" i="17"/>
  <c r="D105" i="17"/>
  <c r="B105" i="17"/>
  <c r="G105" i="17"/>
  <c r="C105" i="17"/>
  <c r="E105" i="17"/>
  <c r="H109" i="17"/>
  <c r="F109" i="17"/>
  <c r="D109" i="17"/>
  <c r="B109" i="17"/>
  <c r="G109" i="17"/>
  <c r="C109" i="17"/>
  <c r="E109" i="17"/>
  <c r="H103" i="17"/>
  <c r="F103" i="17"/>
  <c r="D103" i="17"/>
  <c r="B103" i="17"/>
  <c r="G103" i="17"/>
  <c r="C103" i="17"/>
  <c r="E103" i="17"/>
  <c r="H107" i="17"/>
  <c r="F107" i="17"/>
  <c r="D107" i="17"/>
  <c r="B107" i="17"/>
  <c r="G107" i="17"/>
  <c r="C107" i="17"/>
  <c r="E107" i="17"/>
  <c r="B111" i="17"/>
  <c r="C111" i="17"/>
  <c r="B127" i="17"/>
  <c r="B125" i="17" a="1"/>
  <c r="B123" i="17" a="1"/>
  <c r="C127" i="17"/>
  <c r="B121" i="17" a="1"/>
  <c r="B119" i="17" a="1"/>
  <c r="B117" i="17" a="1"/>
  <c r="B115" i="17" a="1"/>
  <c r="C99" i="14"/>
  <c r="B99" i="14"/>
  <c r="B97" i="14" a="1"/>
  <c r="B95" i="14" a="1"/>
  <c r="B93" i="14" a="1"/>
  <c r="B91" i="14" a="1"/>
  <c r="B89" i="14" a="1"/>
  <c r="B87" i="14" a="1"/>
  <c r="H73" i="14"/>
  <c r="H72" i="14" s="1"/>
  <c r="G73" i="14"/>
  <c r="G72" i="14" s="1"/>
  <c r="F73" i="14"/>
  <c r="F72" i="14" s="1"/>
  <c r="E73" i="14"/>
  <c r="E72" i="14" s="1"/>
  <c r="D73" i="14"/>
  <c r="D72" i="14" s="1"/>
  <c r="C73" i="14"/>
  <c r="C72" i="14" s="1"/>
  <c r="B73" i="14"/>
  <c r="B72" i="14" s="1"/>
  <c r="H75" i="14"/>
  <c r="G75" i="14"/>
  <c r="F75" i="14"/>
  <c r="E75" i="14"/>
  <c r="D75" i="14"/>
  <c r="C75" i="14"/>
  <c r="B75" i="14"/>
  <c r="H77" i="14"/>
  <c r="G77" i="14"/>
  <c r="F77" i="14"/>
  <c r="E77" i="14"/>
  <c r="D77" i="14"/>
  <c r="C77" i="14"/>
  <c r="B77" i="14"/>
  <c r="H79" i="14"/>
  <c r="G79" i="14"/>
  <c r="F79" i="14"/>
  <c r="E79" i="14"/>
  <c r="D79" i="14"/>
  <c r="C79" i="14"/>
  <c r="B79" i="14"/>
  <c r="H81" i="14"/>
  <c r="G81" i="14"/>
  <c r="F81" i="14"/>
  <c r="E81" i="14"/>
  <c r="D81" i="14"/>
  <c r="C81" i="14"/>
  <c r="B81" i="14"/>
  <c r="C83" i="14"/>
  <c r="B83" i="14"/>
  <c r="G129" i="18" l="1"/>
  <c r="G128" i="18" s="1"/>
  <c r="E129" i="18"/>
  <c r="E128" i="18" s="1"/>
  <c r="C129" i="18"/>
  <c r="C128" i="18" s="1"/>
  <c r="F129" i="18"/>
  <c r="F128" i="18" s="1"/>
  <c r="B129" i="18"/>
  <c r="B128" i="18" s="1"/>
  <c r="H129" i="18"/>
  <c r="H128" i="18" s="1"/>
  <c r="D129" i="18"/>
  <c r="D128" i="18" s="1"/>
  <c r="G133" i="18"/>
  <c r="E133" i="18"/>
  <c r="C133" i="18"/>
  <c r="F133" i="18"/>
  <c r="B133" i="18"/>
  <c r="H133" i="18"/>
  <c r="D133" i="18"/>
  <c r="G137" i="18"/>
  <c r="E137" i="18"/>
  <c r="C137" i="18"/>
  <c r="F137" i="18"/>
  <c r="B137" i="18"/>
  <c r="H137" i="18"/>
  <c r="D137" i="18"/>
  <c r="C155" i="18"/>
  <c r="B153" i="18" a="1"/>
  <c r="B151" i="18" a="1"/>
  <c r="B149" i="18" a="1"/>
  <c r="B147" i="18" a="1"/>
  <c r="B145" i="18" a="1"/>
  <c r="B143" i="18" a="1"/>
  <c r="B155" i="18"/>
  <c r="G131" i="18"/>
  <c r="E131" i="18"/>
  <c r="C131" i="18"/>
  <c r="F131" i="18"/>
  <c r="B131" i="18"/>
  <c r="H131" i="18"/>
  <c r="D131" i="18"/>
  <c r="G135" i="18"/>
  <c r="E135" i="18"/>
  <c r="C135" i="18"/>
  <c r="F135" i="18"/>
  <c r="B135" i="18"/>
  <c r="H135" i="18"/>
  <c r="D135" i="18"/>
  <c r="C139" i="18"/>
  <c r="B139" i="18"/>
  <c r="H117" i="17"/>
  <c r="F117" i="17"/>
  <c r="D117" i="17"/>
  <c r="B117" i="17"/>
  <c r="G117" i="17"/>
  <c r="C117" i="17"/>
  <c r="E117" i="17"/>
  <c r="H121" i="17"/>
  <c r="F121" i="17"/>
  <c r="G121" i="17"/>
  <c r="D121" i="17"/>
  <c r="B121" i="17"/>
  <c r="C121" i="17"/>
  <c r="E121" i="17"/>
  <c r="H123" i="17"/>
  <c r="F123" i="17"/>
  <c r="D123" i="17"/>
  <c r="B123" i="17"/>
  <c r="G123" i="17"/>
  <c r="C123" i="17"/>
  <c r="E123" i="17"/>
  <c r="B141" i="17"/>
  <c r="C141" i="17"/>
  <c r="B139" i="17" a="1"/>
  <c r="B137" i="17" a="1"/>
  <c r="B135" i="17" a="1"/>
  <c r="B133" i="17" a="1"/>
  <c r="B131" i="17" a="1"/>
  <c r="B129" i="17" a="1"/>
  <c r="H115" i="17"/>
  <c r="H114" i="17" s="1"/>
  <c r="F115" i="17"/>
  <c r="F114" i="17" s="1"/>
  <c r="D115" i="17"/>
  <c r="D114" i="17" s="1"/>
  <c r="B115" i="17"/>
  <c r="B114" i="17" s="1"/>
  <c r="G115" i="17"/>
  <c r="G114" i="17" s="1"/>
  <c r="C115" i="17"/>
  <c r="C114" i="17" s="1"/>
  <c r="E115" i="17"/>
  <c r="E114" i="17" s="1"/>
  <c r="H119" i="17"/>
  <c r="F119" i="17"/>
  <c r="D119" i="17"/>
  <c r="B119" i="17"/>
  <c r="G119" i="17"/>
  <c r="C119" i="17"/>
  <c r="E119" i="17"/>
  <c r="B125" i="17"/>
  <c r="C125" i="17"/>
  <c r="C113" i="14"/>
  <c r="B113" i="14"/>
  <c r="B111" i="14" a="1"/>
  <c r="B109" i="14" a="1"/>
  <c r="B107" i="14" a="1"/>
  <c r="B105" i="14" a="1"/>
  <c r="B103" i="14" a="1"/>
  <c r="B101" i="14" a="1"/>
  <c r="H87" i="14"/>
  <c r="H86" i="14" s="1"/>
  <c r="G87" i="14"/>
  <c r="G86" i="14" s="1"/>
  <c r="F87" i="14"/>
  <c r="F86" i="14" s="1"/>
  <c r="E87" i="14"/>
  <c r="E86" i="14" s="1"/>
  <c r="D87" i="14"/>
  <c r="D86" i="14" s="1"/>
  <c r="C87" i="14"/>
  <c r="C86" i="14" s="1"/>
  <c r="B87" i="14"/>
  <c r="B86" i="14" s="1"/>
  <c r="H89" i="14"/>
  <c r="G89" i="14"/>
  <c r="F89" i="14"/>
  <c r="E89" i="14"/>
  <c r="D89" i="14"/>
  <c r="C89" i="14"/>
  <c r="B89" i="14"/>
  <c r="H91" i="14"/>
  <c r="G91" i="14"/>
  <c r="F91" i="14"/>
  <c r="E91" i="14"/>
  <c r="D91" i="14"/>
  <c r="C91" i="14"/>
  <c r="B91" i="14"/>
  <c r="H93" i="14"/>
  <c r="G93" i="14"/>
  <c r="F93" i="14"/>
  <c r="E93" i="14"/>
  <c r="D93" i="14"/>
  <c r="C93" i="14"/>
  <c r="B93" i="14"/>
  <c r="H95" i="14"/>
  <c r="G95" i="14"/>
  <c r="F95" i="14"/>
  <c r="E95" i="14"/>
  <c r="D95" i="14"/>
  <c r="C95" i="14"/>
  <c r="B95" i="14"/>
  <c r="C97" i="14"/>
  <c r="B97" i="14"/>
  <c r="G143" i="18" l="1"/>
  <c r="G142" i="18" s="1"/>
  <c r="E143" i="18"/>
  <c r="E142" i="18" s="1"/>
  <c r="C143" i="18"/>
  <c r="C142" i="18" s="1"/>
  <c r="F143" i="18"/>
  <c r="F142" i="18" s="1"/>
  <c r="B143" i="18"/>
  <c r="B142" i="18" s="1"/>
  <c r="D143" i="18"/>
  <c r="D142" i="18" s="1"/>
  <c r="H143" i="18"/>
  <c r="H142" i="18" s="1"/>
  <c r="G147" i="18"/>
  <c r="E147" i="18"/>
  <c r="C147" i="18"/>
  <c r="F147" i="18"/>
  <c r="B147" i="18"/>
  <c r="D147" i="18"/>
  <c r="H147" i="18"/>
  <c r="G151" i="18"/>
  <c r="E151" i="18"/>
  <c r="C151" i="18"/>
  <c r="F151" i="18"/>
  <c r="B151" i="18"/>
  <c r="D151" i="18"/>
  <c r="H151" i="18"/>
  <c r="B167" i="18" a="1"/>
  <c r="B165" i="18" a="1"/>
  <c r="B163" i="18" a="1"/>
  <c r="B161" i="18" a="1"/>
  <c r="B159" i="18" a="1"/>
  <c r="B157" i="18" a="1"/>
  <c r="G145" i="18"/>
  <c r="E145" i="18"/>
  <c r="C145" i="18"/>
  <c r="F145" i="18"/>
  <c r="B145" i="18"/>
  <c r="D145" i="18"/>
  <c r="H145" i="18"/>
  <c r="G149" i="18"/>
  <c r="E149" i="18"/>
  <c r="C149" i="18"/>
  <c r="F149" i="18"/>
  <c r="B149" i="18"/>
  <c r="D149" i="18"/>
  <c r="H149" i="18"/>
  <c r="C153" i="18"/>
  <c r="B153" i="18"/>
  <c r="H131" i="17"/>
  <c r="F131" i="17"/>
  <c r="D131" i="17"/>
  <c r="B131" i="17"/>
  <c r="G131" i="17"/>
  <c r="C131" i="17"/>
  <c r="E131" i="17"/>
  <c r="H135" i="17"/>
  <c r="F135" i="17"/>
  <c r="D135" i="17"/>
  <c r="B135" i="17"/>
  <c r="G135" i="17"/>
  <c r="C135" i="17"/>
  <c r="E135" i="17"/>
  <c r="B139" i="17"/>
  <c r="C139" i="17"/>
  <c r="B155" i="17"/>
  <c r="B153" i="17" a="1"/>
  <c r="B151" i="17" a="1"/>
  <c r="B149" i="17" a="1"/>
  <c r="B147" i="17" a="1"/>
  <c r="B145" i="17" a="1"/>
  <c r="B143" i="17" a="1"/>
  <c r="C155" i="17"/>
  <c r="H129" i="17"/>
  <c r="H128" i="17" s="1"/>
  <c r="F129" i="17"/>
  <c r="F128" i="17" s="1"/>
  <c r="D129" i="17"/>
  <c r="D128" i="17" s="1"/>
  <c r="B129" i="17"/>
  <c r="B128" i="17" s="1"/>
  <c r="G129" i="17"/>
  <c r="G128" i="17" s="1"/>
  <c r="C129" i="17"/>
  <c r="C128" i="17" s="1"/>
  <c r="E129" i="17"/>
  <c r="E128" i="17" s="1"/>
  <c r="H133" i="17"/>
  <c r="F133" i="17"/>
  <c r="D133" i="17"/>
  <c r="B133" i="17"/>
  <c r="G133" i="17"/>
  <c r="C133" i="17"/>
  <c r="E133" i="17"/>
  <c r="H137" i="17"/>
  <c r="F137" i="17"/>
  <c r="D137" i="17"/>
  <c r="B137" i="17"/>
  <c r="G137" i="17"/>
  <c r="C137" i="17"/>
  <c r="E137" i="17"/>
  <c r="C127" i="14"/>
  <c r="B127" i="14"/>
  <c r="B125" i="14" a="1"/>
  <c r="B123" i="14" a="1"/>
  <c r="B121" i="14" a="1"/>
  <c r="B119" i="14" a="1"/>
  <c r="B117" i="14" a="1"/>
  <c r="B115" i="14" a="1"/>
  <c r="H101" i="14"/>
  <c r="H100" i="14" s="1"/>
  <c r="G101" i="14"/>
  <c r="G100" i="14" s="1"/>
  <c r="F101" i="14"/>
  <c r="F100" i="14" s="1"/>
  <c r="E101" i="14"/>
  <c r="E100" i="14" s="1"/>
  <c r="D101" i="14"/>
  <c r="D100" i="14" s="1"/>
  <c r="C101" i="14"/>
  <c r="C100" i="14" s="1"/>
  <c r="B101" i="14"/>
  <c r="B100" i="14" s="1"/>
  <c r="H103" i="14"/>
  <c r="G103" i="14"/>
  <c r="F103" i="14"/>
  <c r="E103" i="14"/>
  <c r="D103" i="14"/>
  <c r="C103" i="14"/>
  <c r="B103" i="14"/>
  <c r="H105" i="14"/>
  <c r="G105" i="14"/>
  <c r="F105" i="14"/>
  <c r="E105" i="14"/>
  <c r="D105" i="14"/>
  <c r="C105" i="14"/>
  <c r="B105" i="14"/>
  <c r="H107" i="14"/>
  <c r="G107" i="14"/>
  <c r="F107" i="14"/>
  <c r="E107" i="14"/>
  <c r="D107" i="14"/>
  <c r="C107" i="14"/>
  <c r="B107" i="14"/>
  <c r="H109" i="14"/>
  <c r="G109" i="14"/>
  <c r="F109" i="14"/>
  <c r="E109" i="14"/>
  <c r="D109" i="14"/>
  <c r="C109" i="14"/>
  <c r="B109" i="14"/>
  <c r="C111" i="14"/>
  <c r="B111" i="14"/>
  <c r="G159" i="18" l="1"/>
  <c r="E159" i="18"/>
  <c r="C159" i="18"/>
  <c r="F159" i="18"/>
  <c r="B159" i="18"/>
  <c r="H159" i="18"/>
  <c r="D159" i="18"/>
  <c r="G163" i="18"/>
  <c r="E163" i="18"/>
  <c r="C163" i="18"/>
  <c r="F163" i="18"/>
  <c r="B163" i="18"/>
  <c r="H163" i="18"/>
  <c r="D163" i="18"/>
  <c r="C167" i="18"/>
  <c r="B167" i="18"/>
  <c r="G157" i="18"/>
  <c r="G156" i="18" s="1"/>
  <c r="E157" i="18"/>
  <c r="E156" i="18" s="1"/>
  <c r="C157" i="18"/>
  <c r="C156" i="18" s="1"/>
  <c r="F157" i="18"/>
  <c r="F156" i="18" s="1"/>
  <c r="B157" i="18"/>
  <c r="B156" i="18" s="1"/>
  <c r="H157" i="18"/>
  <c r="H156" i="18" s="1"/>
  <c r="D157" i="18"/>
  <c r="D156" i="18" s="1"/>
  <c r="G161" i="18"/>
  <c r="E161" i="18"/>
  <c r="C161" i="18"/>
  <c r="F161" i="18"/>
  <c r="B161" i="18"/>
  <c r="H161" i="18"/>
  <c r="D161" i="18"/>
  <c r="G165" i="18"/>
  <c r="E165" i="18"/>
  <c r="C165" i="18"/>
  <c r="F165" i="18"/>
  <c r="B165" i="18"/>
  <c r="H165" i="18"/>
  <c r="D165" i="18"/>
  <c r="H145" i="17"/>
  <c r="F145" i="17"/>
  <c r="D145" i="17"/>
  <c r="B145" i="17"/>
  <c r="G145" i="17"/>
  <c r="C145" i="17"/>
  <c r="E145" i="17"/>
  <c r="H149" i="17"/>
  <c r="F149" i="17"/>
  <c r="D149" i="17"/>
  <c r="B149" i="17"/>
  <c r="G149" i="17"/>
  <c r="C149" i="17"/>
  <c r="E149" i="17"/>
  <c r="B153" i="17"/>
  <c r="C153" i="17"/>
  <c r="H143" i="17"/>
  <c r="H142" i="17" s="1"/>
  <c r="F143" i="17"/>
  <c r="F142" i="17" s="1"/>
  <c r="D143" i="17"/>
  <c r="D142" i="17" s="1"/>
  <c r="B143" i="17"/>
  <c r="B142" i="17" s="1"/>
  <c r="G143" i="17"/>
  <c r="G142" i="17" s="1"/>
  <c r="C143" i="17"/>
  <c r="C142" i="17" s="1"/>
  <c r="E143" i="17"/>
  <c r="E142" i="17" s="1"/>
  <c r="H147" i="17"/>
  <c r="F147" i="17"/>
  <c r="D147" i="17"/>
  <c r="B147" i="17"/>
  <c r="G147" i="17"/>
  <c r="C147" i="17"/>
  <c r="E147" i="17"/>
  <c r="H151" i="17"/>
  <c r="F151" i="17"/>
  <c r="D151" i="17"/>
  <c r="B151" i="17"/>
  <c r="G151" i="17"/>
  <c r="C151" i="17"/>
  <c r="E151" i="17"/>
  <c r="B167" i="17" a="1"/>
  <c r="B165" i="17" a="1"/>
  <c r="B163" i="17" a="1"/>
  <c r="B161" i="17" a="1"/>
  <c r="B159" i="17" a="1"/>
  <c r="B157" i="17" a="1"/>
  <c r="C141" i="14"/>
  <c r="B141" i="14"/>
  <c r="B139" i="14" a="1"/>
  <c r="B137" i="14" a="1"/>
  <c r="B135" i="14" a="1"/>
  <c r="B133" i="14" a="1"/>
  <c r="B131" i="14" a="1"/>
  <c r="B129" i="14" a="1"/>
  <c r="H115" i="14"/>
  <c r="H114" i="14" s="1"/>
  <c r="G115" i="14"/>
  <c r="G114" i="14" s="1"/>
  <c r="F115" i="14"/>
  <c r="F114" i="14" s="1"/>
  <c r="E115" i="14"/>
  <c r="E114" i="14" s="1"/>
  <c r="D115" i="14"/>
  <c r="D114" i="14" s="1"/>
  <c r="C115" i="14"/>
  <c r="C114" i="14" s="1"/>
  <c r="B115" i="14"/>
  <c r="B114" i="14" s="1"/>
  <c r="H117" i="14"/>
  <c r="G117" i="14"/>
  <c r="F117" i="14"/>
  <c r="E117" i="14"/>
  <c r="D117" i="14"/>
  <c r="C117" i="14"/>
  <c r="B117" i="14"/>
  <c r="H119" i="14"/>
  <c r="G119" i="14"/>
  <c r="F119" i="14"/>
  <c r="E119" i="14"/>
  <c r="D119" i="14"/>
  <c r="C119" i="14"/>
  <c r="B119" i="14"/>
  <c r="H121" i="14"/>
  <c r="G121" i="14"/>
  <c r="F121" i="14"/>
  <c r="E121" i="14"/>
  <c r="D121" i="14"/>
  <c r="C121" i="14"/>
  <c r="B121" i="14"/>
  <c r="H123" i="14"/>
  <c r="G123" i="14"/>
  <c r="F123" i="14"/>
  <c r="E123" i="14"/>
  <c r="D123" i="14"/>
  <c r="C123" i="14"/>
  <c r="B123" i="14"/>
  <c r="C125" i="14"/>
  <c r="B125" i="14"/>
  <c r="H159" i="17" l="1"/>
  <c r="F159" i="17"/>
  <c r="D159" i="17"/>
  <c r="B159" i="17"/>
  <c r="G159" i="17"/>
  <c r="C159" i="17"/>
  <c r="E159" i="17"/>
  <c r="H163" i="17"/>
  <c r="F163" i="17"/>
  <c r="D163" i="17"/>
  <c r="B163" i="17"/>
  <c r="G163" i="17"/>
  <c r="C163" i="17"/>
  <c r="E163" i="17"/>
  <c r="C167" i="17"/>
  <c r="B167" i="17"/>
  <c r="H157" i="17"/>
  <c r="H156" i="17" s="1"/>
  <c r="F157" i="17"/>
  <c r="F156" i="17" s="1"/>
  <c r="D157" i="17"/>
  <c r="D156" i="17" s="1"/>
  <c r="B157" i="17"/>
  <c r="B156" i="17" s="1"/>
  <c r="G157" i="17"/>
  <c r="G156" i="17" s="1"/>
  <c r="C157" i="17"/>
  <c r="C156" i="17" s="1"/>
  <c r="E157" i="17"/>
  <c r="E156" i="17" s="1"/>
  <c r="H161" i="17"/>
  <c r="F161" i="17"/>
  <c r="D161" i="17"/>
  <c r="B161" i="17"/>
  <c r="G161" i="17"/>
  <c r="C161" i="17"/>
  <c r="E161" i="17"/>
  <c r="H165" i="17"/>
  <c r="F165" i="17"/>
  <c r="D165" i="17"/>
  <c r="B165" i="17"/>
  <c r="G165" i="17"/>
  <c r="C165" i="17"/>
  <c r="E165" i="17"/>
  <c r="C155" i="14"/>
  <c r="B155" i="14"/>
  <c r="B153" i="14" a="1"/>
  <c r="B151" i="14" a="1"/>
  <c r="B149" i="14" a="1"/>
  <c r="B147" i="14" a="1"/>
  <c r="B145" i="14" a="1"/>
  <c r="B143" i="14" a="1"/>
  <c r="H129" i="14"/>
  <c r="H128" i="14" s="1"/>
  <c r="G129" i="14"/>
  <c r="G128" i="14" s="1"/>
  <c r="F129" i="14"/>
  <c r="F128" i="14" s="1"/>
  <c r="E129" i="14"/>
  <c r="E128" i="14" s="1"/>
  <c r="D129" i="14"/>
  <c r="D128" i="14" s="1"/>
  <c r="C129" i="14"/>
  <c r="C128" i="14" s="1"/>
  <c r="B129" i="14"/>
  <c r="B128" i="14" s="1"/>
  <c r="H131" i="14"/>
  <c r="G131" i="14"/>
  <c r="F131" i="14"/>
  <c r="E131" i="14"/>
  <c r="D131" i="14"/>
  <c r="C131" i="14"/>
  <c r="B131" i="14"/>
  <c r="H133" i="14"/>
  <c r="G133" i="14"/>
  <c r="F133" i="14"/>
  <c r="E133" i="14"/>
  <c r="D133" i="14"/>
  <c r="C133" i="14"/>
  <c r="B133" i="14"/>
  <c r="H135" i="14"/>
  <c r="G135" i="14"/>
  <c r="F135" i="14"/>
  <c r="E135" i="14"/>
  <c r="D135" i="14"/>
  <c r="C135" i="14"/>
  <c r="B135" i="14"/>
  <c r="H137" i="14"/>
  <c r="G137" i="14"/>
  <c r="F137" i="14"/>
  <c r="E137" i="14"/>
  <c r="D137" i="14"/>
  <c r="C137" i="14"/>
  <c r="B137" i="14"/>
  <c r="C139" i="14"/>
  <c r="B139" i="14"/>
  <c r="B167" i="14" l="1" a="1"/>
  <c r="B165" i="14" a="1"/>
  <c r="B163" i="14" a="1"/>
  <c r="B161" i="14" a="1"/>
  <c r="B159" i="14" a="1"/>
  <c r="B157" i="14" a="1"/>
  <c r="H143" i="14"/>
  <c r="H142" i="14" s="1"/>
  <c r="G143" i="14"/>
  <c r="G142" i="14" s="1"/>
  <c r="F143" i="14"/>
  <c r="F142" i="14" s="1"/>
  <c r="E143" i="14"/>
  <c r="E142" i="14" s="1"/>
  <c r="D143" i="14"/>
  <c r="D142" i="14" s="1"/>
  <c r="C143" i="14"/>
  <c r="C142" i="14" s="1"/>
  <c r="B143" i="14"/>
  <c r="B142" i="14" s="1"/>
  <c r="H145" i="14"/>
  <c r="G145" i="14"/>
  <c r="F145" i="14"/>
  <c r="E145" i="14"/>
  <c r="D145" i="14"/>
  <c r="C145" i="14"/>
  <c r="B145" i="14"/>
  <c r="H147" i="14"/>
  <c r="G147" i="14"/>
  <c r="F147" i="14"/>
  <c r="E147" i="14"/>
  <c r="D147" i="14"/>
  <c r="C147" i="14"/>
  <c r="B147" i="14"/>
  <c r="H149" i="14"/>
  <c r="G149" i="14"/>
  <c r="F149" i="14"/>
  <c r="E149" i="14"/>
  <c r="D149" i="14"/>
  <c r="C149" i="14"/>
  <c r="B149" i="14"/>
  <c r="H151" i="14"/>
  <c r="G151" i="14"/>
  <c r="F151" i="14"/>
  <c r="E151" i="14"/>
  <c r="D151" i="14"/>
  <c r="C151" i="14"/>
  <c r="B151" i="14"/>
  <c r="C153" i="14"/>
  <c r="B153" i="14"/>
  <c r="H157" i="14" l="1"/>
  <c r="H156" i="14" s="1"/>
  <c r="G157" i="14"/>
  <c r="G156" i="14" s="1"/>
  <c r="F157" i="14"/>
  <c r="E157" i="14"/>
  <c r="E156" i="14" s="1"/>
  <c r="D157" i="14"/>
  <c r="C157" i="14"/>
  <c r="C156" i="14" s="1"/>
  <c r="B157" i="14"/>
  <c r="H159" i="14"/>
  <c r="G159" i="14"/>
  <c r="F159" i="14"/>
  <c r="E159" i="14"/>
  <c r="D159" i="14"/>
  <c r="C159" i="14"/>
  <c r="B159" i="14"/>
  <c r="H161" i="14"/>
  <c r="G161" i="14"/>
  <c r="F161" i="14"/>
  <c r="E161" i="14"/>
  <c r="D161" i="14"/>
  <c r="C161" i="14"/>
  <c r="B161" i="14"/>
  <c r="H163" i="14"/>
  <c r="G163" i="14"/>
  <c r="F163" i="14"/>
  <c r="E163" i="14"/>
  <c r="D163" i="14"/>
  <c r="C163" i="14"/>
  <c r="B163" i="14"/>
  <c r="H165" i="14"/>
  <c r="G165" i="14"/>
  <c r="F165" i="14"/>
  <c r="E165" i="14"/>
  <c r="D165" i="14"/>
  <c r="C165" i="14"/>
  <c r="B165" i="14"/>
  <c r="C167" i="14"/>
  <c r="B167" i="14"/>
  <c r="F156" i="14"/>
  <c r="D156" i="14"/>
  <c r="B156" i="14"/>
</calcChain>
</file>

<file path=xl/sharedStrings.xml><?xml version="1.0" encoding="utf-8"?>
<sst xmlns="http://schemas.openxmlformats.org/spreadsheetml/2006/main" count="1086" uniqueCount="59">
  <si>
    <t>LUNES</t>
  </si>
  <si>
    <t>Notas:</t>
  </si>
  <si>
    <t>TODOS LOS PROVEEDORES</t>
  </si>
  <si>
    <t>PRODUCTOS A Y B TODOS LOS PROVEEDORES</t>
  </si>
  <si>
    <t>Revisión de Existencias en Sistema</t>
  </si>
  <si>
    <t>Mes 2</t>
  </si>
  <si>
    <t>Mes 3</t>
  </si>
  <si>
    <t>Mes 4</t>
  </si>
  <si>
    <t xml:space="preserve"> MARTES</t>
  </si>
  <si>
    <t>MIERCOLES</t>
  </si>
  <si>
    <t>JUEVES</t>
  </si>
  <si>
    <t>VIERNES</t>
  </si>
  <si>
    <t>SABADO</t>
  </si>
  <si>
    <t>Semana 5</t>
  </si>
  <si>
    <t>Semana 9</t>
  </si>
  <si>
    <t>Semana 13</t>
  </si>
  <si>
    <t>Grupos de Productos</t>
  </si>
  <si>
    <t>Aceros</t>
  </si>
  <si>
    <t>Semana 1</t>
  </si>
  <si>
    <t>A     B</t>
  </si>
  <si>
    <t>Aseo y Limpieza</t>
  </si>
  <si>
    <t>Block</t>
  </si>
  <si>
    <t>Automotriz</t>
  </si>
  <si>
    <t>Bultos</t>
  </si>
  <si>
    <t>Electrónica</t>
  </si>
  <si>
    <t>Electricidad</t>
  </si>
  <si>
    <t>Ferretería</t>
  </si>
  <si>
    <t>Semana 2</t>
  </si>
  <si>
    <t>Gas</t>
  </si>
  <si>
    <t>Obra Negra</t>
  </si>
  <si>
    <t>Muebles</t>
  </si>
  <si>
    <t>Maderas</t>
  </si>
  <si>
    <t>Impermeabiliza.</t>
  </si>
  <si>
    <t>Pisos</t>
  </si>
  <si>
    <t>Gpo.  Cable Eléc.</t>
  </si>
  <si>
    <t>General</t>
  </si>
  <si>
    <t>Plomería</t>
  </si>
  <si>
    <t>Pintura</t>
  </si>
  <si>
    <t>Pegamentos</t>
  </si>
  <si>
    <t>Sanitarios</t>
  </si>
  <si>
    <t>Semana 3</t>
  </si>
  <si>
    <t>Tinacos</t>
  </si>
  <si>
    <t>Seguridad</t>
  </si>
  <si>
    <t>Semana 4</t>
  </si>
  <si>
    <t>Semana 6</t>
  </si>
  <si>
    <t>Semana 10</t>
  </si>
  <si>
    <t>Semana 14</t>
  </si>
  <si>
    <t>Espejos y Botiquines</t>
  </si>
  <si>
    <t>Espejos y Botiq.</t>
  </si>
  <si>
    <t>Impermeabilizantes</t>
  </si>
  <si>
    <t>Semana 7</t>
  </si>
  <si>
    <t>Semana 11</t>
  </si>
  <si>
    <t>Semana 8</t>
  </si>
  <si>
    <t>Semana 12</t>
  </si>
  <si>
    <t>enero</t>
  </si>
  <si>
    <t xml:space="preserve"> </t>
  </si>
  <si>
    <r>
      <t xml:space="preserve">Ixtolco de Morelos, Cuautempan:
</t>
    </r>
    <r>
      <rPr>
        <b/>
        <sz val="10"/>
        <color theme="1"/>
        <rFont val="Arial"/>
        <family val="2"/>
        <scheme val="major"/>
      </rPr>
      <t>Mantenimiento preventivo de equipos de computo y cambio de imagen institucional</t>
    </r>
  </si>
  <si>
    <r>
      <t xml:space="preserve">San Juan Atzingo, San Gabriel Chilac:
</t>
    </r>
    <r>
      <rPr>
        <b/>
        <sz val="10"/>
        <color theme="1"/>
        <rFont val="Arial"/>
        <family val="2"/>
        <scheme val="major"/>
      </rPr>
      <t>Producción de Transmisiones en Vivo con OBS y Chroma Key.</t>
    </r>
  </si>
  <si>
    <r>
      <t xml:space="preserve">Eloxochitlán:
</t>
    </r>
    <r>
      <rPr>
        <b/>
        <sz val="10"/>
        <color theme="1"/>
        <rFont val="Arial"/>
        <family val="2"/>
        <scheme val="major"/>
      </rPr>
      <t>Introducción a la Electrónica con Arduino, Sensores y Actuadores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</si>
</sst>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25" x14ac:knownFonts="1">
    <font>
      <sz val="11"/>
      <name val="Trebuchet MS"/>
      <family val="2"/>
      <scheme val="minor"/>
    </font>
    <font>
      <sz val="11"/>
      <color theme="1"/>
      <name val="Trebuchet MS"/>
      <family val="2"/>
      <scheme val="minor"/>
    </font>
    <font>
      <sz val="11"/>
      <color theme="1"/>
      <name val="Trebuchet MS"/>
      <family val="2"/>
      <scheme val="minor"/>
    </font>
    <font>
      <sz val="8"/>
      <name val="Arial"/>
      <family val="2"/>
    </font>
    <font>
      <sz val="10"/>
      <name val="Century Gothic"/>
      <family val="2"/>
    </font>
    <font>
      <b/>
      <sz val="11"/>
      <color theme="0"/>
      <name val="Trebuchet MS"/>
      <family val="2"/>
      <scheme val="minor"/>
    </font>
    <font>
      <b/>
      <sz val="14"/>
      <color theme="0"/>
      <name val="Trebuchet MS"/>
      <family val="2"/>
      <scheme val="minor"/>
    </font>
    <font>
      <b/>
      <sz val="28"/>
      <color theme="0"/>
      <name val="Arial"/>
      <family val="2"/>
      <scheme val="major"/>
    </font>
    <font>
      <sz val="36"/>
      <color theme="4" tint="-0.24994659260841701"/>
      <name val="Trebuchet MS"/>
      <family val="2"/>
      <scheme val="minor"/>
    </font>
    <font>
      <b/>
      <sz val="11"/>
      <color theme="3"/>
      <name val="Arial"/>
      <family val="2"/>
      <scheme val="major"/>
    </font>
    <font>
      <sz val="16"/>
      <color theme="1"/>
      <name val="Trebuchet MS"/>
      <family val="2"/>
      <scheme val="minor"/>
    </font>
    <font>
      <b/>
      <sz val="11"/>
      <color theme="0"/>
      <name val="Arial"/>
      <family val="2"/>
      <scheme val="major"/>
    </font>
    <font>
      <sz val="11"/>
      <name val="Trebuchet MS"/>
      <family val="2"/>
      <scheme val="minor"/>
    </font>
    <font>
      <sz val="11"/>
      <color theme="1"/>
      <name val="Arial"/>
      <family val="2"/>
      <scheme val="major"/>
    </font>
    <font>
      <sz val="11"/>
      <color indexed="63"/>
      <name val="Trebuchet MS"/>
      <family val="2"/>
      <scheme val="minor"/>
    </font>
    <font>
      <sz val="10"/>
      <color theme="1"/>
      <name val="Arial"/>
      <family val="2"/>
      <scheme val="major"/>
    </font>
    <font>
      <b/>
      <sz val="12"/>
      <color theme="1"/>
      <name val="Trebuchet MS"/>
      <family val="2"/>
      <scheme val="minor"/>
    </font>
    <font>
      <b/>
      <sz val="20"/>
      <color theme="0"/>
      <name val="Trebuchet MS"/>
      <family val="2"/>
      <scheme val="minor"/>
    </font>
    <font>
      <b/>
      <sz val="16"/>
      <color theme="1"/>
      <name val="Trebuchet MS"/>
      <family val="2"/>
      <scheme val="minor"/>
    </font>
    <font>
      <sz val="9"/>
      <color theme="1"/>
      <name val="Trebuchet MS"/>
      <family val="2"/>
      <scheme val="minor"/>
    </font>
    <font>
      <b/>
      <sz val="20"/>
      <color theme="1"/>
      <name val="Trebuchet MS"/>
      <family val="2"/>
      <scheme val="minor"/>
    </font>
    <font>
      <b/>
      <sz val="10"/>
      <color theme="1"/>
      <name val="Trebuchet MS"/>
      <family val="2"/>
      <scheme val="minor"/>
    </font>
    <font>
      <b/>
      <sz val="14"/>
      <color theme="1"/>
      <name val="Trebuchet MS"/>
      <family val="2"/>
      <scheme val="minor"/>
    </font>
    <font>
      <sz val="36"/>
      <color rgb="FFC79B66"/>
      <name val="Trebuchet MS"/>
      <family val="2"/>
      <scheme val="minor"/>
    </font>
    <font>
      <b/>
      <sz val="10"/>
      <color theme="1"/>
      <name val="Arial"/>
      <family val="2"/>
      <scheme val="major"/>
    </font>
  </fonts>
  <fills count="15">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4" tint="-0.24994659260841701"/>
        <bgColor indexed="64"/>
      </patternFill>
    </fill>
    <fill>
      <patternFill patternType="solid">
        <fgColor theme="7" tint="-0.499984740745262"/>
        <bgColor indexed="64"/>
      </patternFill>
    </fill>
    <fill>
      <patternFill patternType="solid">
        <fgColor theme="6" tint="0.39997558519241921"/>
        <bgColor indexed="64"/>
      </patternFill>
    </fill>
    <fill>
      <patternFill patternType="solid">
        <fgColor theme="0"/>
        <bgColor indexed="64"/>
      </patternFill>
    </fill>
    <fill>
      <patternFill patternType="solid">
        <fgColor theme="4" tint="-0.499984740745262"/>
        <bgColor indexed="64"/>
      </patternFill>
    </fill>
    <fill>
      <patternFill patternType="solid">
        <fgColor rgb="FF5F1B2D"/>
        <bgColor indexed="64"/>
      </patternFill>
    </fill>
    <fill>
      <patternFill patternType="solid">
        <fgColor rgb="FF216358"/>
        <bgColor indexed="64"/>
      </patternFill>
    </fill>
    <fill>
      <patternFill patternType="solid">
        <fgColor rgb="FF3C9B85"/>
        <bgColor indexed="64"/>
      </patternFill>
    </fill>
    <fill>
      <patternFill patternType="solid">
        <fgColor rgb="FFC79B66"/>
        <bgColor indexed="64"/>
      </patternFill>
    </fill>
  </fills>
  <borders count="35">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style="thick">
        <color theme="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3743705557422"/>
      </bottom>
      <diagonal/>
    </border>
    <border>
      <left style="thin">
        <color theme="0" tint="-0.14996795556505021"/>
      </left>
      <right/>
      <top style="thin">
        <color theme="0" tint="-0.14993743705557422"/>
      </top>
      <bottom/>
      <diagonal/>
    </border>
    <border>
      <left/>
      <right style="thin">
        <color theme="0" tint="-0.14993743705557422"/>
      </right>
      <top style="thin">
        <color theme="0" tint="-0.14996795556505021"/>
      </top>
      <bottom/>
      <diagonal/>
    </border>
    <border>
      <left/>
      <right/>
      <top style="thin">
        <color indexed="64"/>
      </top>
      <bottom style="double">
        <color indexed="64"/>
      </bottom>
      <diagonal/>
    </border>
    <border>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right style="hair">
        <color indexed="64"/>
      </right>
      <top/>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top/>
      <bottom style="hair">
        <color indexed="64"/>
      </bottom>
      <diagonal/>
    </border>
    <border>
      <left/>
      <right style="hair">
        <color indexed="64"/>
      </right>
      <top/>
      <bottom style="hair">
        <color indexed="64"/>
      </bottom>
      <diagonal/>
    </border>
    <border>
      <left/>
      <right/>
      <top/>
      <bottom style="double">
        <color indexed="64"/>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right style="thin">
        <color theme="0" tint="-0.14996795556505021"/>
      </right>
      <top/>
      <bottom style="thin">
        <color theme="0" tint="-0.14993743705557422"/>
      </bottom>
      <diagonal/>
    </border>
  </borders>
  <cellStyleXfs count="14">
    <xf numFmtId="0" fontId="0" fillId="0" borderId="0" applyFill="0" applyBorder="0" applyProtection="0"/>
    <xf numFmtId="0" fontId="14" fillId="3" borderId="0" applyNumberFormat="0" applyBorder="0" applyAlignment="0" applyProtection="0"/>
    <xf numFmtId="0" fontId="8" fillId="0" borderId="0" applyNumberFormat="0" applyFill="0" applyProtection="0">
      <alignment horizontal="left" indent="3"/>
    </xf>
    <xf numFmtId="0" fontId="5" fillId="4" borderId="1" applyNumberFormat="0" applyAlignment="0" applyProtection="0"/>
    <xf numFmtId="0" fontId="6" fillId="5" borderId="2" applyNumberFormat="0" applyProtection="0">
      <alignment vertical="center"/>
    </xf>
    <xf numFmtId="164" fontId="10" fillId="0" borderId="9" applyFill="0" applyProtection="0">
      <alignment horizontal="left" vertical="center" wrapText="1" indent="1"/>
    </xf>
    <xf numFmtId="164" fontId="13" fillId="0" borderId="6" applyFill="0" applyProtection="0">
      <alignment horizontal="left" vertical="top" wrapText="1" indent="1"/>
    </xf>
    <xf numFmtId="164" fontId="2" fillId="0" borderId="0" applyNumberFormat="0" applyFill="0" applyProtection="0">
      <alignment horizontal="left" vertical="top" wrapText="1" indent="1"/>
    </xf>
    <xf numFmtId="164" fontId="12" fillId="0" borderId="8" applyNumberFormat="0" applyFill="0" applyProtection="0">
      <alignment horizontal="left" vertical="center" wrapText="1" indent="1"/>
    </xf>
    <xf numFmtId="0" fontId="7" fillId="6" borderId="0" applyNumberFormat="0" applyBorder="0" applyProtection="0">
      <alignment horizontal="center"/>
    </xf>
    <xf numFmtId="0" fontId="11" fillId="7" borderId="3" applyNumberFormat="0" applyProtection="0">
      <alignment horizontal="left" vertical="center" indent="1"/>
    </xf>
    <xf numFmtId="0" fontId="11" fillId="6" borderId="3" applyNumberFormat="0" applyProtection="0">
      <alignment horizontal="left" indent="1"/>
    </xf>
    <xf numFmtId="0" fontId="9" fillId="0" borderId="0" applyNumberFormat="0" applyFill="0" applyBorder="0" applyAlignment="0" applyProtection="0"/>
    <xf numFmtId="0" fontId="1" fillId="0" borderId="0"/>
  </cellStyleXfs>
  <cellXfs count="72">
    <xf numFmtId="0" fontId="0" fillId="0" borderId="0" xfId="0"/>
    <xf numFmtId="0" fontId="7" fillId="6" borderId="0" xfId="9">
      <alignment horizontal="center"/>
    </xf>
    <xf numFmtId="0" fontId="0" fillId="2" borderId="0" xfId="0" applyFill="1"/>
    <xf numFmtId="0" fontId="4" fillId="0" borderId="0" xfId="0" applyFont="1"/>
    <xf numFmtId="164" fontId="10" fillId="0" borderId="9" xfId="5" applyFill="1">
      <alignment horizontal="left" vertical="center" wrapText="1" indent="1"/>
    </xf>
    <xf numFmtId="164" fontId="10" fillId="0" borderId="4" xfId="5" applyFill="1" applyBorder="1">
      <alignment horizontal="left" vertical="center" wrapText="1" indent="1"/>
    </xf>
    <xf numFmtId="0" fontId="8" fillId="0" borderId="0" xfId="2">
      <alignment horizontal="left" indent="3"/>
    </xf>
    <xf numFmtId="0" fontId="11" fillId="7" borderId="3" xfId="10">
      <alignment horizontal="left" vertical="center" indent="1"/>
    </xf>
    <xf numFmtId="0" fontId="11" fillId="6" borderId="3" xfId="11" applyAlignment="1">
      <alignment horizontal="left" vertical="center" indent="1"/>
    </xf>
    <xf numFmtId="0" fontId="0" fillId="2" borderId="0" xfId="0" applyFill="1" applyBorder="1"/>
    <xf numFmtId="0" fontId="13" fillId="0" borderId="6" xfId="6" applyNumberFormat="1" applyFill="1">
      <alignment horizontal="left" vertical="top" wrapText="1" indent="1"/>
    </xf>
    <xf numFmtId="0" fontId="13" fillId="0" borderId="5" xfId="6" applyNumberFormat="1" applyFill="1" applyBorder="1">
      <alignment horizontal="left" vertical="top" wrapText="1" indent="1"/>
    </xf>
    <xf numFmtId="0" fontId="13" fillId="0" borderId="7" xfId="6" applyNumberFormat="1" applyFill="1" applyBorder="1">
      <alignment horizontal="left" vertical="top" wrapText="1" indent="1"/>
    </xf>
    <xf numFmtId="0" fontId="15" fillId="8" borderId="6" xfId="6" applyNumberFormat="1" applyFont="1" applyFill="1" applyAlignment="1">
      <alignment horizontal="center" vertical="center" wrapText="1"/>
    </xf>
    <xf numFmtId="0" fontId="1" fillId="0" borderId="0" xfId="13"/>
    <xf numFmtId="0" fontId="1" fillId="0" borderId="10" xfId="13" applyBorder="1" applyAlignment="1">
      <alignment horizontal="center"/>
    </xf>
    <xf numFmtId="0" fontId="1" fillId="0" borderId="0" xfId="13" applyAlignment="1">
      <alignment horizontal="center"/>
    </xf>
    <xf numFmtId="0" fontId="18" fillId="0" borderId="0" xfId="13" applyFont="1" applyAlignment="1">
      <alignment horizontal="center" vertical="center" textRotation="90" wrapText="1"/>
    </xf>
    <xf numFmtId="0" fontId="19" fillId="0" borderId="11" xfId="13" applyFont="1" applyBorder="1"/>
    <xf numFmtId="0" fontId="19" fillId="0" borderId="12" xfId="13" applyFont="1" applyBorder="1"/>
    <xf numFmtId="0" fontId="19" fillId="0" borderId="13" xfId="13" applyFont="1" applyBorder="1"/>
    <xf numFmtId="0" fontId="19" fillId="0" borderId="0" xfId="13" applyFont="1"/>
    <xf numFmtId="0" fontId="19" fillId="0" borderId="16" xfId="13" applyFont="1" applyBorder="1"/>
    <xf numFmtId="0" fontId="19" fillId="0" borderId="17" xfId="13" applyFont="1" applyBorder="1"/>
    <xf numFmtId="0" fontId="19" fillId="0" borderId="18" xfId="13" applyFont="1" applyBorder="1"/>
    <xf numFmtId="0" fontId="19" fillId="0" borderId="22" xfId="13" applyFont="1" applyBorder="1"/>
    <xf numFmtId="0" fontId="19" fillId="0" borderId="15" xfId="13" applyFont="1" applyBorder="1"/>
    <xf numFmtId="0" fontId="19" fillId="0" borderId="23" xfId="13" applyFont="1" applyBorder="1"/>
    <xf numFmtId="0" fontId="1" fillId="0" borderId="0" xfId="13" applyAlignment="1">
      <alignment vertical="center" wrapText="1"/>
    </xf>
    <xf numFmtId="0" fontId="19" fillId="0" borderId="24" xfId="13" applyFont="1" applyBorder="1"/>
    <xf numFmtId="0" fontId="19" fillId="0" borderId="25" xfId="13" applyFont="1" applyBorder="1"/>
    <xf numFmtId="0" fontId="19" fillId="0" borderId="26" xfId="13" applyFont="1" applyBorder="1"/>
    <xf numFmtId="0" fontId="1" fillId="0" borderId="0" xfId="13" applyAlignment="1">
      <alignment vertical="center"/>
    </xf>
    <xf numFmtId="0" fontId="20" fillId="8" borderId="15" xfId="13" applyFont="1" applyFill="1" applyBorder="1" applyAlignment="1">
      <alignment horizontal="center" vertical="center" wrapText="1"/>
    </xf>
    <xf numFmtId="0" fontId="22" fillId="0" borderId="0" xfId="0" applyFont="1"/>
    <xf numFmtId="0" fontId="21" fillId="8" borderId="21" xfId="13" applyFont="1" applyFill="1" applyBorder="1" applyAlignment="1">
      <alignment horizontal="center" vertical="center" wrapText="1"/>
    </xf>
    <xf numFmtId="0" fontId="20" fillId="0" borderId="15" xfId="13" applyFont="1" applyBorder="1" applyAlignment="1">
      <alignment horizontal="center" vertical="center" wrapText="1"/>
    </xf>
    <xf numFmtId="0" fontId="20" fillId="0" borderId="20" xfId="13" applyFont="1" applyBorder="1" applyAlignment="1">
      <alignment horizontal="center" vertical="center" wrapText="1"/>
    </xf>
    <xf numFmtId="0" fontId="1" fillId="0" borderId="20" xfId="13" applyBorder="1" applyAlignment="1">
      <alignment horizontal="center" vertical="center" wrapText="1"/>
    </xf>
    <xf numFmtId="0" fontId="20" fillId="8" borderId="19" xfId="13" applyFont="1" applyFill="1" applyBorder="1" applyAlignment="1">
      <alignment horizontal="center" vertical="center" wrapText="1"/>
    </xf>
    <xf numFmtId="0" fontId="1" fillId="0" borderId="21" xfId="13" applyBorder="1" applyAlignment="1">
      <alignment horizontal="center" vertical="center" wrapText="1"/>
    </xf>
    <xf numFmtId="0" fontId="1" fillId="0" borderId="31" xfId="13" applyBorder="1" applyAlignment="1">
      <alignment horizontal="center"/>
    </xf>
    <xf numFmtId="0" fontId="20" fillId="0" borderId="19" xfId="13" applyFont="1" applyBorder="1" applyAlignment="1">
      <alignment horizontal="center" vertical="center" wrapText="1"/>
    </xf>
    <xf numFmtId="0" fontId="21" fillId="0" borderId="21" xfId="13" applyFont="1" applyBorder="1" applyAlignment="1">
      <alignment horizontal="center" vertical="center" wrapText="1"/>
    </xf>
    <xf numFmtId="0" fontId="21" fillId="0" borderId="20" xfId="13" applyFont="1" applyBorder="1" applyAlignment="1">
      <alignment horizontal="center" vertical="center" wrapText="1"/>
    </xf>
    <xf numFmtId="0" fontId="21" fillId="8" borderId="20" xfId="13" applyFont="1" applyFill="1" applyBorder="1" applyAlignment="1">
      <alignment horizontal="center" vertical="center" wrapText="1"/>
    </xf>
    <xf numFmtId="0" fontId="21" fillId="0" borderId="29" xfId="13" applyFont="1" applyBorder="1" applyAlignment="1">
      <alignment horizontal="center" vertical="center" wrapText="1"/>
    </xf>
    <xf numFmtId="0" fontId="21" fillId="0" borderId="30" xfId="13" applyFont="1" applyBorder="1" applyAlignment="1">
      <alignment horizontal="center" vertical="center" wrapText="1"/>
    </xf>
    <xf numFmtId="0" fontId="19" fillId="0" borderId="16" xfId="13" applyFont="1" applyBorder="1" applyAlignment="1">
      <alignment horizontal="center" vertical="center"/>
    </xf>
    <xf numFmtId="0" fontId="19" fillId="0" borderId="17" xfId="13" applyFont="1" applyBorder="1" applyAlignment="1">
      <alignment horizontal="center" vertical="center"/>
    </xf>
    <xf numFmtId="0" fontId="19" fillId="0" borderId="18" xfId="13" applyFont="1" applyBorder="1" applyAlignment="1">
      <alignment horizontal="center" vertical="center"/>
    </xf>
    <xf numFmtId="0" fontId="1" fillId="0" borderId="10" xfId="13" applyBorder="1" applyAlignment="1">
      <alignment horizontal="center" vertical="center"/>
    </xf>
    <xf numFmtId="0" fontId="15" fillId="0" borderId="6" xfId="6" applyNumberFormat="1" applyFont="1" applyFill="1" applyAlignment="1">
      <alignment horizontal="center" vertical="center" wrapText="1"/>
    </xf>
    <xf numFmtId="0" fontId="7" fillId="11" borderId="0" xfId="9" applyFill="1">
      <alignment horizontal="center"/>
    </xf>
    <xf numFmtId="0" fontId="23" fillId="0" borderId="0" xfId="2" applyFont="1">
      <alignment horizontal="left" indent="3"/>
    </xf>
    <xf numFmtId="0" fontId="11" fillId="12" borderId="3" xfId="10" applyFill="1">
      <alignment horizontal="left" vertical="center" indent="1"/>
    </xf>
    <xf numFmtId="0" fontId="11" fillId="13" borderId="3" xfId="11" applyFill="1" applyAlignment="1">
      <alignment horizontal="left" vertical="center" indent="1"/>
    </xf>
    <xf numFmtId="0" fontId="5" fillId="10" borderId="0" xfId="13" applyFont="1" applyFill="1" applyAlignment="1">
      <alignment horizontal="center"/>
    </xf>
    <xf numFmtId="0" fontId="18" fillId="0" borderId="0" xfId="13" applyFont="1" applyAlignment="1">
      <alignment horizontal="center" vertical="center" textRotation="90" wrapText="1"/>
    </xf>
    <xf numFmtId="0" fontId="1" fillId="0" borderId="14" xfId="13" applyBorder="1" applyAlignment="1">
      <alignment horizontal="center" vertical="center"/>
    </xf>
    <xf numFmtId="0" fontId="16" fillId="9" borderId="0" xfId="13" applyFont="1" applyFill="1" applyAlignment="1">
      <alignment horizontal="center" vertical="center" wrapText="1"/>
    </xf>
    <xf numFmtId="0" fontId="17" fillId="10" borderId="0" xfId="13" applyFont="1" applyFill="1" applyAlignment="1">
      <alignment horizontal="center"/>
    </xf>
    <xf numFmtId="164" fontId="0" fillId="0" borderId="8" xfId="8" applyFont="1">
      <alignment horizontal="left" vertical="center" wrapText="1" indent="1"/>
    </xf>
    <xf numFmtId="164" fontId="12" fillId="0" borderId="8" xfId="8">
      <alignment horizontal="left" vertical="center" wrapText="1" indent="1"/>
    </xf>
    <xf numFmtId="0" fontId="2" fillId="0" borderId="0" xfId="7" applyNumberFormat="1">
      <alignment horizontal="left" vertical="top" wrapText="1" indent="1"/>
    </xf>
    <xf numFmtId="0" fontId="2" fillId="0" borderId="5" xfId="7" applyNumberFormat="1" applyBorder="1">
      <alignment horizontal="left" vertical="top" wrapText="1" indent="1"/>
    </xf>
    <xf numFmtId="0" fontId="12" fillId="0" borderId="27" xfId="8" applyNumberFormat="1" applyBorder="1">
      <alignment horizontal="left" vertical="center" wrapText="1" indent="1"/>
    </xf>
    <xf numFmtId="0" fontId="12" fillId="0" borderId="28" xfId="8" applyNumberFormat="1" applyBorder="1">
      <alignment horizontal="left" vertical="center" wrapText="1" indent="1"/>
    </xf>
    <xf numFmtId="0" fontId="15" fillId="14" borderId="32" xfId="6" applyNumberFormat="1" applyFont="1" applyFill="1" applyBorder="1" applyAlignment="1">
      <alignment horizontal="center" vertical="center" wrapText="1"/>
    </xf>
    <xf numFmtId="0" fontId="15" fillId="14" borderId="33" xfId="6" applyNumberFormat="1" applyFont="1" applyFill="1" applyBorder="1" applyAlignment="1">
      <alignment horizontal="center" vertical="center" wrapText="1"/>
    </xf>
    <xf numFmtId="0" fontId="13" fillId="14" borderId="7" xfId="6" applyNumberFormat="1" applyFill="1" applyBorder="1" applyAlignment="1">
      <alignment horizontal="center" vertical="top" wrapText="1"/>
    </xf>
    <xf numFmtId="0" fontId="13" fillId="14" borderId="34" xfId="6" applyNumberFormat="1" applyFill="1" applyBorder="1" applyAlignment="1">
      <alignment horizontal="center" vertical="top" wrapText="1"/>
    </xf>
  </cellXfs>
  <cellStyles count="14">
    <cellStyle name="40% - Énfasis1" xfId="1" builtinId="31" customBuiltin="1"/>
    <cellStyle name="Detalle de día" xfId="6" xr:uid="{00000000-0005-0000-0000-000001000000}"/>
    <cellStyle name="Día" xfId="5" xr:uid="{00000000-0005-0000-0000-000002000000}"/>
    <cellStyle name="Encabezado 1" xfId="2" builtinId="16" customBuiltin="1"/>
    <cellStyle name="Encabezado 4" xfId="12" builtinId="19" customBuiltin="1"/>
    <cellStyle name="Encabezado de notas" xfId="8" xr:uid="{00000000-0005-0000-0000-000005000000}"/>
    <cellStyle name="Énfasis1" xfId="3" builtinId="29" customBuiltin="1"/>
    <cellStyle name="Énfasis5" xfId="4" builtinId="45" customBuiltin="1"/>
    <cellStyle name="Normal" xfId="0" builtinId="0" customBuiltin="1"/>
    <cellStyle name="Normal 2" xfId="13" xr:uid="{00000000-0005-0000-0000-000009000000}"/>
    <cellStyle name="Notas" xfId="7" xr:uid="{00000000-0005-0000-0000-00000A000000}"/>
    <cellStyle name="Título" xfId="9" builtinId="15" customBuiltin="1"/>
    <cellStyle name="Título 2" xfId="10" builtinId="17" customBuiltin="1"/>
    <cellStyle name="Título 3" xfId="11" builtinId="18" customBuiltin="1"/>
  </cellStyles>
  <dxfs count="36">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mruColors>
      <color rgb="FFC79B66"/>
      <color rgb="FF3C9B85"/>
      <color rgb="FF216358"/>
      <color rgb="FF5F1B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Academic Calendar">
      <a:dk1>
        <a:srgbClr val="000000"/>
      </a:dk1>
      <a:lt1>
        <a:srgbClr val="FFFFFF"/>
      </a:lt1>
      <a:dk2>
        <a:srgbClr val="616668"/>
      </a:dk2>
      <a:lt2>
        <a:srgbClr val="F8F8F9"/>
      </a:lt2>
      <a:accent1>
        <a:srgbClr val="329E95"/>
      </a:accent1>
      <a:accent2>
        <a:srgbClr val="F4812B"/>
      </a:accent2>
      <a:accent3>
        <a:srgbClr val="EDB000"/>
      </a:accent3>
      <a:accent4>
        <a:srgbClr val="79B142"/>
      </a:accent4>
      <a:accent5>
        <a:srgbClr val="E34742"/>
      </a:accent5>
      <a:accent6>
        <a:srgbClr val="6D426F"/>
      </a:accent6>
      <a:hlink>
        <a:srgbClr val="2388CF"/>
      </a:hlink>
      <a:folHlink>
        <a:srgbClr val="6D426F"/>
      </a:folHlink>
    </a:clrScheme>
    <a:fontScheme name="Custom 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H74"/>
  <sheetViews>
    <sheetView showGridLines="0" zoomScaleNormal="100" workbookViewId="0">
      <selection activeCell="I8" sqref="I8"/>
    </sheetView>
  </sheetViews>
  <sheetFormatPr baseColWidth="10" defaultColWidth="11" defaultRowHeight="16.5" x14ac:dyDescent="0.3"/>
  <cols>
    <col min="1" max="1" width="5.625" style="14" customWidth="1"/>
    <col min="2" max="2" width="10.625" style="14" customWidth="1"/>
    <col min="3" max="8" width="12" style="14" customWidth="1"/>
    <col min="9" max="9" width="11" style="14"/>
    <col min="10" max="10" width="0" style="14" hidden="1" customWidth="1"/>
    <col min="11" max="16" width="12" style="14" hidden="1" customWidth="1"/>
    <col min="17" max="18" width="0" style="14" hidden="1" customWidth="1"/>
    <col min="19" max="24" width="12" style="14" hidden="1" customWidth="1"/>
    <col min="25" max="26" width="0" style="14" hidden="1" customWidth="1"/>
    <col min="27" max="32" width="12" style="14" hidden="1" customWidth="1"/>
    <col min="33" max="16384" width="11" style="14"/>
  </cols>
  <sheetData>
    <row r="2" spans="1:34" ht="28.5" customHeight="1" x14ac:dyDescent="0.45">
      <c r="A2" s="60"/>
      <c r="B2" s="60"/>
      <c r="C2" s="61" t="s">
        <v>4</v>
      </c>
      <c r="D2" s="61"/>
      <c r="E2" s="61"/>
      <c r="F2" s="61"/>
      <c r="G2" s="61"/>
      <c r="H2" s="61"/>
      <c r="K2" s="57" t="s">
        <v>5</v>
      </c>
      <c r="L2" s="57"/>
      <c r="M2" s="57"/>
      <c r="N2" s="57"/>
      <c r="O2" s="57"/>
      <c r="P2" s="57"/>
      <c r="S2" s="57" t="s">
        <v>6</v>
      </c>
      <c r="T2" s="57"/>
      <c r="U2" s="57"/>
      <c r="V2" s="57"/>
      <c r="W2" s="57"/>
      <c r="X2" s="57"/>
      <c r="AA2" s="57" t="s">
        <v>7</v>
      </c>
      <c r="AB2" s="57"/>
      <c r="AC2" s="57"/>
      <c r="AD2" s="57"/>
      <c r="AE2" s="57"/>
      <c r="AF2" s="57"/>
    </row>
    <row r="3" spans="1:34" x14ac:dyDescent="0.3">
      <c r="A3" s="60"/>
      <c r="B3" s="60"/>
    </row>
    <row r="4" spans="1:34" s="16" customFormat="1" ht="17.25" thickBot="1" x14ac:dyDescent="0.35">
      <c r="A4" s="60"/>
      <c r="B4" s="60"/>
      <c r="C4" s="51" t="s">
        <v>0</v>
      </c>
      <c r="D4" s="51" t="s">
        <v>8</v>
      </c>
      <c r="E4" s="51" t="s">
        <v>9</v>
      </c>
      <c r="F4" s="51" t="s">
        <v>10</v>
      </c>
      <c r="G4" s="51" t="s">
        <v>11</v>
      </c>
      <c r="H4" s="51" t="s">
        <v>12</v>
      </c>
      <c r="J4" s="16" t="s">
        <v>13</v>
      </c>
      <c r="K4" s="15" t="s">
        <v>0</v>
      </c>
      <c r="L4" s="15" t="s">
        <v>8</v>
      </c>
      <c r="M4" s="15" t="s">
        <v>9</v>
      </c>
      <c r="N4" s="15" t="s">
        <v>10</v>
      </c>
      <c r="O4" s="15" t="s">
        <v>11</v>
      </c>
      <c r="P4" s="15" t="s">
        <v>12</v>
      </c>
      <c r="R4" s="16" t="s">
        <v>14</v>
      </c>
      <c r="S4" s="15" t="s">
        <v>0</v>
      </c>
      <c r="T4" s="15" t="s">
        <v>8</v>
      </c>
      <c r="U4" s="15" t="s">
        <v>9</v>
      </c>
      <c r="V4" s="15" t="s">
        <v>10</v>
      </c>
      <c r="W4" s="15" t="s">
        <v>11</v>
      </c>
      <c r="X4" s="15" t="s">
        <v>12</v>
      </c>
      <c r="Z4" s="16" t="s">
        <v>15</v>
      </c>
      <c r="AA4" s="15" t="s">
        <v>0</v>
      </c>
      <c r="AB4" s="15" t="s">
        <v>8</v>
      </c>
      <c r="AC4" s="15" t="s">
        <v>9</v>
      </c>
      <c r="AD4" s="15" t="s">
        <v>10</v>
      </c>
      <c r="AE4" s="15" t="s">
        <v>11</v>
      </c>
      <c r="AF4" s="15" t="s">
        <v>12</v>
      </c>
    </row>
    <row r="5" spans="1:34" ht="15.75" customHeight="1" thickTop="1" x14ac:dyDescent="0.35">
      <c r="A5" s="58" t="s">
        <v>16</v>
      </c>
      <c r="B5" s="17"/>
      <c r="C5" s="18"/>
      <c r="D5" s="19"/>
      <c r="E5" s="19"/>
      <c r="F5" s="19"/>
      <c r="G5" s="19"/>
      <c r="H5" s="20"/>
      <c r="J5" s="58" t="s">
        <v>16</v>
      </c>
      <c r="K5" s="18" t="s">
        <v>17</v>
      </c>
      <c r="L5" s="19" t="s">
        <v>17</v>
      </c>
      <c r="M5" s="19" t="s">
        <v>17</v>
      </c>
      <c r="N5" s="19" t="s">
        <v>17</v>
      </c>
      <c r="O5" s="19" t="s">
        <v>17</v>
      </c>
      <c r="P5" s="20" t="s">
        <v>17</v>
      </c>
      <c r="R5" s="58" t="s">
        <v>16</v>
      </c>
      <c r="S5" s="18" t="s">
        <v>17</v>
      </c>
      <c r="T5" s="19" t="s">
        <v>17</v>
      </c>
      <c r="U5" s="19" t="s">
        <v>17</v>
      </c>
      <c r="V5" s="19" t="s">
        <v>17</v>
      </c>
      <c r="W5" s="19" t="s">
        <v>17</v>
      </c>
      <c r="X5" s="20" t="s">
        <v>17</v>
      </c>
      <c r="Z5" s="58" t="s">
        <v>16</v>
      </c>
      <c r="AA5" s="18" t="s">
        <v>17</v>
      </c>
      <c r="AB5" s="19" t="s">
        <v>17</v>
      </c>
      <c r="AC5" s="19" t="s">
        <v>17</v>
      </c>
      <c r="AD5" s="19" t="s">
        <v>17</v>
      </c>
      <c r="AE5" s="19" t="s">
        <v>17</v>
      </c>
      <c r="AF5" s="20" t="s">
        <v>17</v>
      </c>
      <c r="AH5" s="21"/>
    </row>
    <row r="6" spans="1:34" ht="19.5" customHeight="1" x14ac:dyDescent="0.35">
      <c r="A6" s="58"/>
      <c r="B6" s="59" t="s">
        <v>18</v>
      </c>
      <c r="C6" s="33" t="s">
        <v>19</v>
      </c>
      <c r="D6" s="36"/>
      <c r="E6" s="33" t="s">
        <v>19</v>
      </c>
      <c r="F6" s="36"/>
      <c r="G6" s="33" t="s">
        <v>19</v>
      </c>
      <c r="H6" s="36"/>
      <c r="J6" s="58"/>
      <c r="K6" s="22" t="s">
        <v>20</v>
      </c>
      <c r="L6" s="23" t="s">
        <v>20</v>
      </c>
      <c r="M6" s="23" t="s">
        <v>20</v>
      </c>
      <c r="N6" s="23" t="s">
        <v>20</v>
      </c>
      <c r="O6" s="23" t="s">
        <v>20</v>
      </c>
      <c r="P6" s="24" t="s">
        <v>21</v>
      </c>
      <c r="R6" s="58"/>
      <c r="S6" s="22" t="s">
        <v>21</v>
      </c>
      <c r="T6" s="23" t="s">
        <v>20</v>
      </c>
      <c r="U6" s="23" t="s">
        <v>21</v>
      </c>
      <c r="V6" s="23" t="s">
        <v>22</v>
      </c>
      <c r="W6" s="23" t="s">
        <v>21</v>
      </c>
      <c r="X6" s="24" t="s">
        <v>21</v>
      </c>
      <c r="Z6" s="58"/>
      <c r="AA6" s="22" t="s">
        <v>20</v>
      </c>
      <c r="AB6" s="23" t="s">
        <v>20</v>
      </c>
      <c r="AC6" s="23" t="s">
        <v>21</v>
      </c>
      <c r="AD6" s="23" t="s">
        <v>20</v>
      </c>
      <c r="AE6" s="23" t="s">
        <v>21</v>
      </c>
      <c r="AF6" s="24" t="s">
        <v>21</v>
      </c>
    </row>
    <row r="7" spans="1:34" ht="8.25" customHeight="1" x14ac:dyDescent="0.35">
      <c r="A7" s="58"/>
      <c r="B7" s="59"/>
      <c r="C7" s="39"/>
      <c r="D7" s="42"/>
      <c r="E7" s="39"/>
      <c r="F7" s="42"/>
      <c r="G7" s="39"/>
      <c r="H7" s="42"/>
      <c r="J7" s="58"/>
      <c r="K7" s="22" t="s">
        <v>22</v>
      </c>
      <c r="L7" s="23" t="s">
        <v>21</v>
      </c>
      <c r="M7" s="23" t="s">
        <v>21</v>
      </c>
      <c r="N7" s="23" t="s">
        <v>21</v>
      </c>
      <c r="O7" s="23" t="s">
        <v>21</v>
      </c>
      <c r="P7" s="24" t="s">
        <v>23</v>
      </c>
      <c r="R7" s="58"/>
      <c r="S7" s="22" t="s">
        <v>23</v>
      </c>
      <c r="T7" s="23" t="s">
        <v>22</v>
      </c>
      <c r="U7" s="23" t="s">
        <v>24</v>
      </c>
      <c r="V7" s="23" t="s">
        <v>21</v>
      </c>
      <c r="W7" s="23" t="s">
        <v>25</v>
      </c>
      <c r="X7" s="24" t="s">
        <v>23</v>
      </c>
      <c r="Z7" s="58"/>
      <c r="AA7" s="22" t="s">
        <v>21</v>
      </c>
      <c r="AB7" s="23" t="s">
        <v>22</v>
      </c>
      <c r="AC7" s="23" t="s">
        <v>24</v>
      </c>
      <c r="AD7" s="23" t="s">
        <v>21</v>
      </c>
      <c r="AE7" s="23" t="s">
        <v>24</v>
      </c>
      <c r="AF7" s="24" t="s">
        <v>23</v>
      </c>
    </row>
    <row r="8" spans="1:34" ht="27.75" customHeight="1" x14ac:dyDescent="0.35">
      <c r="A8" s="58"/>
      <c r="B8" s="59"/>
      <c r="C8" s="35" t="s">
        <v>2</v>
      </c>
      <c r="D8" s="43"/>
      <c r="E8" s="35" t="s">
        <v>2</v>
      </c>
      <c r="F8" s="43"/>
      <c r="G8" s="35" t="s">
        <v>2</v>
      </c>
      <c r="H8" s="44"/>
      <c r="J8" s="58"/>
      <c r="K8" s="22" t="s">
        <v>21</v>
      </c>
      <c r="L8" s="23" t="s">
        <v>24</v>
      </c>
      <c r="M8" s="23" t="s">
        <v>23</v>
      </c>
      <c r="N8" s="23" t="s">
        <v>24</v>
      </c>
      <c r="O8" s="23" t="s">
        <v>24</v>
      </c>
      <c r="P8" s="24" t="s">
        <v>24</v>
      </c>
      <c r="R8" s="58"/>
      <c r="S8" s="22" t="s">
        <v>25</v>
      </c>
      <c r="T8" s="23" t="s">
        <v>21</v>
      </c>
      <c r="U8" s="23" t="s">
        <v>25</v>
      </c>
      <c r="V8" s="23" t="s">
        <v>25</v>
      </c>
      <c r="W8" s="23" t="s">
        <v>26</v>
      </c>
      <c r="X8" s="24" t="s">
        <v>24</v>
      </c>
      <c r="Z8" s="58"/>
      <c r="AA8" s="22" t="s">
        <v>23</v>
      </c>
      <c r="AB8" s="23" t="s">
        <v>21</v>
      </c>
      <c r="AC8" s="23" t="s">
        <v>25</v>
      </c>
      <c r="AD8" s="23" t="s">
        <v>25</v>
      </c>
      <c r="AE8" s="23" t="s">
        <v>25</v>
      </c>
      <c r="AF8" s="24" t="s">
        <v>24</v>
      </c>
    </row>
    <row r="9" spans="1:34" ht="15" customHeight="1" x14ac:dyDescent="0.35">
      <c r="A9" s="58"/>
      <c r="B9" s="16"/>
      <c r="C9" s="48"/>
      <c r="D9" s="37"/>
      <c r="E9" s="48"/>
      <c r="F9" s="38"/>
      <c r="G9" s="48"/>
      <c r="H9" s="40"/>
      <c r="J9" s="58"/>
      <c r="K9" s="22"/>
      <c r="L9" s="23"/>
      <c r="M9" s="23"/>
      <c r="N9" s="23"/>
      <c r="O9" s="23"/>
      <c r="P9" s="24"/>
      <c r="R9" s="58"/>
      <c r="S9" s="22"/>
      <c r="T9" s="23"/>
      <c r="U9" s="23"/>
      <c r="V9" s="23"/>
      <c r="W9" s="23"/>
      <c r="X9" s="24"/>
      <c r="Z9" s="58"/>
      <c r="AA9" s="22"/>
      <c r="AB9" s="23"/>
      <c r="AC9" s="23"/>
      <c r="AD9" s="23"/>
      <c r="AE9" s="23"/>
      <c r="AF9" s="24"/>
    </row>
    <row r="10" spans="1:34" ht="15" customHeight="1" x14ac:dyDescent="0.35">
      <c r="A10" s="58"/>
      <c r="B10" s="59" t="s">
        <v>27</v>
      </c>
      <c r="C10" s="33" t="s">
        <v>19</v>
      </c>
      <c r="D10" s="36"/>
      <c r="E10" s="33" t="s">
        <v>19</v>
      </c>
      <c r="F10" s="36"/>
      <c r="G10" s="33" t="s">
        <v>19</v>
      </c>
      <c r="H10" s="36"/>
      <c r="J10" s="58"/>
      <c r="K10" s="22" t="s">
        <v>24</v>
      </c>
      <c r="L10" s="23" t="s">
        <v>26</v>
      </c>
      <c r="M10" s="23" t="s">
        <v>24</v>
      </c>
      <c r="N10" s="23" t="s">
        <v>26</v>
      </c>
      <c r="O10" s="23" t="s">
        <v>26</v>
      </c>
      <c r="P10" s="24" t="s">
        <v>26</v>
      </c>
      <c r="R10" s="58"/>
      <c r="S10" s="22" t="s">
        <v>28</v>
      </c>
      <c r="T10" s="23" t="s">
        <v>26</v>
      </c>
      <c r="U10" s="23" t="s">
        <v>28</v>
      </c>
      <c r="V10" s="23" t="s">
        <v>29</v>
      </c>
      <c r="W10" s="23" t="s">
        <v>30</v>
      </c>
      <c r="X10" s="24" t="s">
        <v>26</v>
      </c>
      <c r="Z10" s="58"/>
      <c r="AA10" s="22" t="s">
        <v>25</v>
      </c>
      <c r="AB10" s="23" t="s">
        <v>25</v>
      </c>
      <c r="AC10" s="23" t="s">
        <v>28</v>
      </c>
      <c r="AD10" s="23" t="s">
        <v>29</v>
      </c>
      <c r="AE10" s="23" t="s">
        <v>31</v>
      </c>
      <c r="AF10" s="24" t="s">
        <v>26</v>
      </c>
    </row>
    <row r="11" spans="1:34" ht="6.75" customHeight="1" x14ac:dyDescent="0.35">
      <c r="A11" s="58"/>
      <c r="B11" s="59"/>
      <c r="C11" s="39"/>
      <c r="D11" s="42"/>
      <c r="E11" s="39"/>
      <c r="F11" s="42"/>
      <c r="G11" s="39"/>
      <c r="H11" s="42"/>
      <c r="J11" s="58"/>
      <c r="K11" s="22" t="s">
        <v>25</v>
      </c>
      <c r="L11" s="23" t="s">
        <v>28</v>
      </c>
      <c r="M11" s="23" t="s">
        <v>25</v>
      </c>
      <c r="N11" s="23" t="s">
        <v>28</v>
      </c>
      <c r="O11" s="23" t="s">
        <v>28</v>
      </c>
      <c r="P11" s="24" t="s">
        <v>28</v>
      </c>
      <c r="R11" s="58"/>
      <c r="S11" s="22" t="s">
        <v>30</v>
      </c>
      <c r="T11" s="23" t="s">
        <v>32</v>
      </c>
      <c r="U11" s="23" t="s">
        <v>33</v>
      </c>
      <c r="V11" s="23" t="s">
        <v>33</v>
      </c>
      <c r="W11" s="23" t="s">
        <v>29</v>
      </c>
      <c r="X11" s="24" t="s">
        <v>30</v>
      </c>
      <c r="Z11" s="58"/>
      <c r="AA11" s="22" t="s">
        <v>26</v>
      </c>
      <c r="AB11" s="23" t="s">
        <v>26</v>
      </c>
      <c r="AC11" s="23" t="s">
        <v>34</v>
      </c>
      <c r="AD11" s="23" t="s">
        <v>33</v>
      </c>
      <c r="AE11" s="23" t="s">
        <v>30</v>
      </c>
      <c r="AF11" s="24" t="s">
        <v>30</v>
      </c>
    </row>
    <row r="12" spans="1:34" ht="24.75" customHeight="1" x14ac:dyDescent="0.35">
      <c r="A12" s="58"/>
      <c r="B12" s="59"/>
      <c r="C12" s="45" t="s">
        <v>2</v>
      </c>
      <c r="D12" s="46"/>
      <c r="E12" s="35" t="s">
        <v>2</v>
      </c>
      <c r="F12" s="44"/>
      <c r="G12" s="35" t="s">
        <v>2</v>
      </c>
      <c r="H12" s="44"/>
      <c r="J12" s="58"/>
      <c r="K12" s="22" t="s">
        <v>26</v>
      </c>
      <c r="L12" s="23" t="s">
        <v>32</v>
      </c>
      <c r="M12" s="23" t="s">
        <v>26</v>
      </c>
      <c r="N12" s="23" t="s">
        <v>35</v>
      </c>
      <c r="O12" s="23" t="s">
        <v>31</v>
      </c>
      <c r="P12" s="24" t="s">
        <v>30</v>
      </c>
      <c r="R12" s="58"/>
      <c r="S12" s="22" t="s">
        <v>33</v>
      </c>
      <c r="T12" s="23" t="s">
        <v>29</v>
      </c>
      <c r="U12" s="23" t="s">
        <v>36</v>
      </c>
      <c r="V12" s="23" t="s">
        <v>37</v>
      </c>
      <c r="W12" s="23" t="s">
        <v>33</v>
      </c>
      <c r="X12" s="24" t="s">
        <v>29</v>
      </c>
      <c r="Z12" s="58"/>
      <c r="AA12" s="22" t="s">
        <v>28</v>
      </c>
      <c r="AB12" s="23" t="s">
        <v>32</v>
      </c>
      <c r="AC12" s="23" t="s">
        <v>32</v>
      </c>
      <c r="AD12" s="23" t="s">
        <v>37</v>
      </c>
      <c r="AE12" s="23" t="s">
        <v>29</v>
      </c>
      <c r="AF12" s="24" t="s">
        <v>29</v>
      </c>
    </row>
    <row r="13" spans="1:34" ht="15" customHeight="1" x14ac:dyDescent="0.35">
      <c r="A13" s="58"/>
      <c r="B13" s="16"/>
      <c r="C13" s="48"/>
      <c r="D13" s="49"/>
      <c r="E13" s="48"/>
      <c r="F13" s="49"/>
      <c r="G13" s="48"/>
      <c r="H13" s="50"/>
      <c r="J13" s="58"/>
      <c r="K13" s="22" t="s">
        <v>28</v>
      </c>
      <c r="L13" s="23" t="s">
        <v>30</v>
      </c>
      <c r="M13" s="23" t="s">
        <v>28</v>
      </c>
      <c r="N13" s="23" t="s">
        <v>30</v>
      </c>
      <c r="O13" s="23" t="s">
        <v>30</v>
      </c>
      <c r="P13" s="24" t="s">
        <v>29</v>
      </c>
      <c r="R13" s="58"/>
      <c r="S13" s="22" t="s">
        <v>36</v>
      </c>
      <c r="T13" s="23" t="s">
        <v>38</v>
      </c>
      <c r="U13" s="23" t="s">
        <v>39</v>
      </c>
      <c r="V13" s="23" t="s">
        <v>36</v>
      </c>
      <c r="W13" s="23" t="s">
        <v>36</v>
      </c>
      <c r="X13" s="24" t="s">
        <v>38</v>
      </c>
      <c r="Z13" s="58"/>
      <c r="AA13" s="22" t="s">
        <v>30</v>
      </c>
      <c r="AB13" s="23" t="s">
        <v>29</v>
      </c>
      <c r="AC13" s="23" t="s">
        <v>33</v>
      </c>
      <c r="AD13" s="23" t="s">
        <v>36</v>
      </c>
      <c r="AE13" s="23" t="s">
        <v>33</v>
      </c>
      <c r="AF13" s="24" t="s">
        <v>38</v>
      </c>
    </row>
    <row r="14" spans="1:34" ht="18" customHeight="1" x14ac:dyDescent="0.35">
      <c r="A14" s="58"/>
      <c r="B14" s="59" t="s">
        <v>40</v>
      </c>
      <c r="C14" s="33" t="s">
        <v>19</v>
      </c>
      <c r="D14" s="36"/>
      <c r="E14" s="33" t="s">
        <v>19</v>
      </c>
      <c r="F14" s="36"/>
      <c r="G14" s="33" t="s">
        <v>19</v>
      </c>
      <c r="H14" s="36"/>
      <c r="J14" s="58"/>
      <c r="K14" s="22" t="s">
        <v>30</v>
      </c>
      <c r="L14" s="23" t="s">
        <v>29</v>
      </c>
      <c r="M14" s="23" t="s">
        <v>31</v>
      </c>
      <c r="N14" s="23" t="s">
        <v>29</v>
      </c>
      <c r="O14" s="23" t="s">
        <v>29</v>
      </c>
      <c r="P14" s="24" t="s">
        <v>38</v>
      </c>
      <c r="R14" s="58"/>
      <c r="S14" s="22" t="s">
        <v>39</v>
      </c>
      <c r="T14" s="23" t="s">
        <v>33</v>
      </c>
      <c r="U14" s="23" t="s">
        <v>41</v>
      </c>
      <c r="V14" s="23" t="s">
        <v>42</v>
      </c>
      <c r="W14" s="23"/>
      <c r="X14" s="24" t="s">
        <v>33</v>
      </c>
      <c r="Z14" s="58"/>
      <c r="AA14" s="22" t="s">
        <v>38</v>
      </c>
      <c r="AB14" s="23" t="s">
        <v>38</v>
      </c>
      <c r="AC14" s="23" t="s">
        <v>36</v>
      </c>
      <c r="AD14" s="23" t="s">
        <v>42</v>
      </c>
      <c r="AE14" s="23" t="s">
        <v>37</v>
      </c>
      <c r="AF14" s="24" t="s">
        <v>33</v>
      </c>
    </row>
    <row r="15" spans="1:34" ht="8.25" customHeight="1" x14ac:dyDescent="0.35">
      <c r="A15" s="58"/>
      <c r="B15" s="59"/>
      <c r="C15" s="39"/>
      <c r="D15" s="42"/>
      <c r="E15" s="39"/>
      <c r="F15" s="42"/>
      <c r="G15" s="39"/>
      <c r="H15" s="42"/>
      <c r="J15" s="58"/>
      <c r="K15" s="22" t="s">
        <v>38</v>
      </c>
      <c r="L15" s="23" t="s">
        <v>33</v>
      </c>
      <c r="M15" s="23" t="s">
        <v>30</v>
      </c>
      <c r="N15" s="23" t="s">
        <v>33</v>
      </c>
      <c r="O15" s="23" t="s">
        <v>33</v>
      </c>
      <c r="P15" s="24" t="s">
        <v>33</v>
      </c>
      <c r="R15" s="58"/>
      <c r="S15" s="22" t="s">
        <v>42</v>
      </c>
      <c r="T15" s="23" t="s">
        <v>37</v>
      </c>
      <c r="U15" s="23"/>
      <c r="V15" s="23" t="s">
        <v>41</v>
      </c>
      <c r="W15" s="23"/>
      <c r="X15" s="24" t="s">
        <v>36</v>
      </c>
      <c r="Z15" s="58"/>
      <c r="AA15" s="22" t="s">
        <v>33</v>
      </c>
      <c r="AB15" s="23" t="s">
        <v>33</v>
      </c>
      <c r="AC15" s="23" t="s">
        <v>39</v>
      </c>
      <c r="AD15" s="23" t="s">
        <v>41</v>
      </c>
      <c r="AE15" s="23" t="s">
        <v>36</v>
      </c>
      <c r="AF15" s="24" t="s">
        <v>36</v>
      </c>
    </row>
    <row r="16" spans="1:34" ht="23.25" customHeight="1" x14ac:dyDescent="0.35">
      <c r="A16" s="58"/>
      <c r="B16" s="59"/>
      <c r="C16" s="45" t="s">
        <v>2</v>
      </c>
      <c r="D16" s="46"/>
      <c r="E16" s="35" t="s">
        <v>2</v>
      </c>
      <c r="F16" s="46"/>
      <c r="G16" s="35" t="s">
        <v>2</v>
      </c>
      <c r="H16" s="44"/>
      <c r="J16" s="58"/>
      <c r="K16" s="22" t="s">
        <v>33</v>
      </c>
      <c r="L16" s="23" t="s">
        <v>37</v>
      </c>
      <c r="M16" s="23" t="s">
        <v>33</v>
      </c>
      <c r="N16" s="23" t="s">
        <v>37</v>
      </c>
      <c r="O16" s="23" t="s">
        <v>36</v>
      </c>
      <c r="P16" s="24" t="s">
        <v>36</v>
      </c>
      <c r="R16" s="58"/>
      <c r="S16" s="22"/>
      <c r="T16" s="23" t="s">
        <v>36</v>
      </c>
      <c r="U16" s="23"/>
      <c r="V16" s="23"/>
      <c r="W16" s="23"/>
      <c r="X16" s="24" t="s">
        <v>41</v>
      </c>
      <c r="Z16" s="58"/>
      <c r="AA16" s="22" t="s">
        <v>37</v>
      </c>
      <c r="AB16" s="23" t="s">
        <v>37</v>
      </c>
      <c r="AC16" s="23" t="s">
        <v>42</v>
      </c>
      <c r="AD16" s="23"/>
      <c r="AE16" s="23"/>
      <c r="AF16" s="24" t="s">
        <v>41</v>
      </c>
    </row>
    <row r="17" spans="1:32" ht="15" customHeight="1" x14ac:dyDescent="0.35">
      <c r="A17" s="58"/>
      <c r="B17" s="16"/>
      <c r="C17" s="48"/>
      <c r="D17" s="49"/>
      <c r="E17" s="48"/>
      <c r="F17" s="49"/>
      <c r="G17" s="48"/>
      <c r="H17" s="50"/>
      <c r="J17" s="58"/>
      <c r="K17" s="22" t="s">
        <v>37</v>
      </c>
      <c r="L17" s="23" t="s">
        <v>36</v>
      </c>
      <c r="M17" s="23" t="s">
        <v>37</v>
      </c>
      <c r="N17" s="23" t="s">
        <v>36</v>
      </c>
      <c r="O17" s="23" t="s">
        <v>39</v>
      </c>
      <c r="P17" s="24" t="s">
        <v>39</v>
      </c>
      <c r="R17" s="58"/>
      <c r="S17" s="25"/>
      <c r="T17" s="26" t="s">
        <v>42</v>
      </c>
      <c r="U17" s="26"/>
      <c r="V17" s="26"/>
      <c r="W17" s="26"/>
      <c r="X17" s="27"/>
      <c r="Z17" s="58"/>
      <c r="AA17" s="22" t="s">
        <v>36</v>
      </c>
      <c r="AB17" s="23" t="s">
        <v>36</v>
      </c>
      <c r="AC17" s="23" t="s">
        <v>41</v>
      </c>
      <c r="AD17" s="23"/>
      <c r="AE17" s="23"/>
      <c r="AF17" s="24"/>
    </row>
    <row r="18" spans="1:32" ht="18" customHeight="1" x14ac:dyDescent="0.35">
      <c r="A18" s="58"/>
      <c r="B18" s="59" t="s">
        <v>43</v>
      </c>
      <c r="C18" s="33" t="s">
        <v>19</v>
      </c>
      <c r="D18" s="36"/>
      <c r="E18" s="33" t="s">
        <v>19</v>
      </c>
      <c r="F18" s="36"/>
      <c r="G18" s="33" t="s">
        <v>19</v>
      </c>
      <c r="H18" s="36"/>
      <c r="J18" s="58"/>
      <c r="K18" s="22" t="s">
        <v>36</v>
      </c>
      <c r="L18" s="23" t="s">
        <v>39</v>
      </c>
      <c r="M18" s="23" t="s">
        <v>36</v>
      </c>
      <c r="N18" s="23" t="s">
        <v>39</v>
      </c>
      <c r="O18" s="23"/>
      <c r="P18" s="24" t="s">
        <v>42</v>
      </c>
      <c r="R18" s="28"/>
      <c r="S18" s="21"/>
      <c r="T18" s="21"/>
      <c r="U18" s="21"/>
      <c r="V18" s="21"/>
      <c r="W18" s="21"/>
      <c r="X18" s="21"/>
      <c r="Z18" s="58"/>
      <c r="AA18" s="25" t="s">
        <v>39</v>
      </c>
      <c r="AB18" s="26" t="s">
        <v>42</v>
      </c>
      <c r="AC18" s="26"/>
      <c r="AD18" s="26"/>
      <c r="AE18" s="26"/>
      <c r="AF18" s="27"/>
    </row>
    <row r="19" spans="1:32" ht="6.75" customHeight="1" x14ac:dyDescent="0.35">
      <c r="A19" s="58"/>
      <c r="B19" s="59"/>
      <c r="C19" s="39"/>
      <c r="D19" s="42"/>
      <c r="E19" s="39"/>
      <c r="F19" s="42"/>
      <c r="G19" s="39"/>
      <c r="H19" s="42"/>
      <c r="J19" s="58"/>
      <c r="K19" s="22" t="s">
        <v>39</v>
      </c>
      <c r="L19" s="23" t="s">
        <v>42</v>
      </c>
      <c r="M19" s="23" t="s">
        <v>39</v>
      </c>
      <c r="N19" s="23" t="s">
        <v>42</v>
      </c>
      <c r="O19" s="23"/>
      <c r="P19" s="24" t="s">
        <v>41</v>
      </c>
      <c r="R19" s="28"/>
      <c r="S19" s="21"/>
      <c r="T19" s="21"/>
      <c r="U19" s="21"/>
      <c r="V19" s="21"/>
      <c r="W19" s="21"/>
      <c r="X19" s="21"/>
      <c r="Z19" s="28"/>
      <c r="AA19" s="21"/>
      <c r="AB19" s="21"/>
      <c r="AC19" s="21"/>
      <c r="AD19" s="21"/>
      <c r="AE19" s="21"/>
      <c r="AF19" s="21"/>
    </row>
    <row r="20" spans="1:32" ht="28.5" customHeight="1" x14ac:dyDescent="0.35">
      <c r="A20" s="58"/>
      <c r="B20" s="59"/>
      <c r="C20" s="45" t="s">
        <v>2</v>
      </c>
      <c r="D20" s="46"/>
      <c r="E20" s="35" t="s">
        <v>2</v>
      </c>
      <c r="F20" s="46"/>
      <c r="G20" s="35" t="s">
        <v>2</v>
      </c>
      <c r="H20" s="47"/>
      <c r="J20" s="58"/>
      <c r="K20" s="22" t="s">
        <v>42</v>
      </c>
      <c r="L20" s="23"/>
      <c r="M20" s="23" t="s">
        <v>42</v>
      </c>
      <c r="N20" s="23" t="s">
        <v>41</v>
      </c>
      <c r="O20" s="23"/>
      <c r="P20" s="24"/>
      <c r="R20" s="28"/>
      <c r="S20" s="21"/>
      <c r="T20" s="21"/>
      <c r="U20" s="21"/>
      <c r="V20" s="21"/>
      <c r="W20" s="21"/>
      <c r="X20" s="21"/>
      <c r="Z20" s="28"/>
      <c r="AA20" s="21"/>
      <c r="AB20" s="21"/>
      <c r="AC20" s="21"/>
      <c r="AD20" s="21"/>
      <c r="AE20" s="21"/>
      <c r="AF20" s="21"/>
    </row>
    <row r="21" spans="1:32" s="16" customFormat="1" ht="17.25" hidden="1" thickBot="1" x14ac:dyDescent="0.35">
      <c r="A21" s="16" t="s">
        <v>27</v>
      </c>
      <c r="C21" s="41" t="s">
        <v>0</v>
      </c>
      <c r="D21" s="41" t="s">
        <v>8</v>
      </c>
      <c r="E21" s="41" t="s">
        <v>9</v>
      </c>
      <c r="F21" s="41" t="s">
        <v>10</v>
      </c>
      <c r="G21" s="41" t="s">
        <v>11</v>
      </c>
      <c r="H21" s="41" t="s">
        <v>12</v>
      </c>
      <c r="J21" s="16" t="s">
        <v>44</v>
      </c>
      <c r="K21" s="15" t="s">
        <v>0</v>
      </c>
      <c r="L21" s="15" t="s">
        <v>8</v>
      </c>
      <c r="M21" s="15" t="s">
        <v>9</v>
      </c>
      <c r="N21" s="15" t="s">
        <v>10</v>
      </c>
      <c r="O21" s="15" t="s">
        <v>11</v>
      </c>
      <c r="P21" s="15" t="s">
        <v>12</v>
      </c>
      <c r="R21" s="16" t="s">
        <v>45</v>
      </c>
      <c r="S21" s="15" t="s">
        <v>0</v>
      </c>
      <c r="T21" s="15" t="s">
        <v>8</v>
      </c>
      <c r="U21" s="15" t="s">
        <v>9</v>
      </c>
      <c r="V21" s="15" t="s">
        <v>10</v>
      </c>
      <c r="W21" s="15" t="s">
        <v>11</v>
      </c>
      <c r="X21" s="15" t="s">
        <v>12</v>
      </c>
      <c r="Z21" s="16" t="s">
        <v>46</v>
      </c>
      <c r="AA21" s="15" t="s">
        <v>0</v>
      </c>
      <c r="AB21" s="15" t="s">
        <v>8</v>
      </c>
      <c r="AC21" s="15" t="s">
        <v>9</v>
      </c>
      <c r="AD21" s="15" t="s">
        <v>10</v>
      </c>
      <c r="AE21" s="15" t="s">
        <v>11</v>
      </c>
      <c r="AF21" s="15" t="s">
        <v>12</v>
      </c>
    </row>
    <row r="22" spans="1:32" ht="15.75" hidden="1" customHeight="1" thickTop="1" x14ac:dyDescent="0.35">
      <c r="A22" s="58" t="s">
        <v>16</v>
      </c>
      <c r="B22" s="17"/>
      <c r="C22" s="18" t="s">
        <v>17</v>
      </c>
      <c r="D22" s="19" t="s">
        <v>17</v>
      </c>
      <c r="E22" s="19" t="s">
        <v>17</v>
      </c>
      <c r="F22" s="19" t="s">
        <v>17</v>
      </c>
      <c r="G22" s="19" t="s">
        <v>17</v>
      </c>
      <c r="H22" s="20" t="s">
        <v>17</v>
      </c>
      <c r="J22" s="58" t="s">
        <v>16</v>
      </c>
      <c r="K22" s="18" t="s">
        <v>17</v>
      </c>
      <c r="L22" s="19" t="s">
        <v>17</v>
      </c>
      <c r="M22" s="19" t="s">
        <v>17</v>
      </c>
      <c r="N22" s="19" t="s">
        <v>17</v>
      </c>
      <c r="O22" s="19" t="s">
        <v>22</v>
      </c>
      <c r="P22" s="20" t="s">
        <v>20</v>
      </c>
      <c r="R22" s="58" t="s">
        <v>16</v>
      </c>
      <c r="S22" s="18" t="s">
        <v>17</v>
      </c>
      <c r="T22" s="19" t="s">
        <v>17</v>
      </c>
      <c r="U22" s="19" t="s">
        <v>17</v>
      </c>
      <c r="V22" s="19" t="s">
        <v>17</v>
      </c>
      <c r="W22" s="19" t="s">
        <v>23</v>
      </c>
      <c r="X22" s="20" t="s">
        <v>20</v>
      </c>
      <c r="Z22" s="58" t="s">
        <v>16</v>
      </c>
      <c r="AA22" s="29" t="s">
        <v>24</v>
      </c>
      <c r="AB22" s="21"/>
      <c r="AC22" s="21"/>
      <c r="AD22" s="21"/>
      <c r="AE22" s="21"/>
      <c r="AF22" s="21"/>
    </row>
    <row r="23" spans="1:32" ht="17.25" hidden="1" x14ac:dyDescent="0.35">
      <c r="A23" s="58"/>
      <c r="B23" s="17"/>
      <c r="C23" s="22" t="s">
        <v>21</v>
      </c>
      <c r="D23" s="23" t="s">
        <v>20</v>
      </c>
      <c r="E23" s="23" t="s">
        <v>20</v>
      </c>
      <c r="F23" s="23" t="s">
        <v>21</v>
      </c>
      <c r="G23" s="23" t="s">
        <v>20</v>
      </c>
      <c r="H23" s="24" t="s">
        <v>20</v>
      </c>
      <c r="J23" s="58"/>
      <c r="K23" s="22" t="s">
        <v>20</v>
      </c>
      <c r="L23" s="23" t="s">
        <v>20</v>
      </c>
      <c r="M23" s="23" t="s">
        <v>22</v>
      </c>
      <c r="N23" s="23" t="s">
        <v>22</v>
      </c>
      <c r="O23" s="23" t="s">
        <v>23</v>
      </c>
      <c r="P23" s="24" t="s">
        <v>24</v>
      </c>
      <c r="R23" s="58"/>
      <c r="S23" s="22" t="s">
        <v>22</v>
      </c>
      <c r="T23" s="23" t="s">
        <v>21</v>
      </c>
      <c r="U23" s="23" t="s">
        <v>25</v>
      </c>
      <c r="V23" s="23" t="s">
        <v>21</v>
      </c>
      <c r="W23" s="23" t="s">
        <v>25</v>
      </c>
      <c r="X23" s="24" t="s">
        <v>24</v>
      </c>
      <c r="Z23" s="58"/>
      <c r="AA23" s="30" t="s">
        <v>25</v>
      </c>
      <c r="AB23" s="21"/>
      <c r="AC23" s="21"/>
      <c r="AD23" s="21"/>
      <c r="AE23" s="21"/>
      <c r="AF23" s="21"/>
    </row>
    <row r="24" spans="1:32" ht="17.25" hidden="1" x14ac:dyDescent="0.35">
      <c r="A24" s="58"/>
      <c r="B24" s="17"/>
      <c r="C24" s="22" t="s">
        <v>23</v>
      </c>
      <c r="D24" s="23" t="s">
        <v>21</v>
      </c>
      <c r="E24" s="23" t="s">
        <v>23</v>
      </c>
      <c r="F24" s="23" t="s">
        <v>47</v>
      </c>
      <c r="G24" s="23" t="s">
        <v>21</v>
      </c>
      <c r="H24" s="24" t="s">
        <v>21</v>
      </c>
      <c r="J24" s="58"/>
      <c r="K24" s="22" t="s">
        <v>23</v>
      </c>
      <c r="L24" s="23" t="s">
        <v>21</v>
      </c>
      <c r="M24" s="23" t="s">
        <v>25</v>
      </c>
      <c r="N24" s="23" t="s">
        <v>21</v>
      </c>
      <c r="O24" s="23" t="s">
        <v>24</v>
      </c>
      <c r="P24" s="24" t="s">
        <v>25</v>
      </c>
      <c r="R24" s="58"/>
      <c r="S24" s="22" t="s">
        <v>23</v>
      </c>
      <c r="T24" s="23" t="s">
        <v>23</v>
      </c>
      <c r="U24" s="23" t="s">
        <v>26</v>
      </c>
      <c r="V24" s="23" t="s">
        <v>25</v>
      </c>
      <c r="W24" s="23" t="s">
        <v>26</v>
      </c>
      <c r="X24" s="24" t="s">
        <v>25</v>
      </c>
      <c r="Z24" s="58"/>
      <c r="AA24" s="30" t="s">
        <v>26</v>
      </c>
      <c r="AB24" s="21"/>
      <c r="AC24" s="21"/>
      <c r="AD24" s="21"/>
      <c r="AE24" s="21"/>
      <c r="AF24" s="21"/>
    </row>
    <row r="25" spans="1:32" ht="17.25" hidden="1" x14ac:dyDescent="0.35">
      <c r="A25" s="58"/>
      <c r="B25" s="17"/>
      <c r="C25" s="22" t="s">
        <v>25</v>
      </c>
      <c r="D25" s="23" t="s">
        <v>23</v>
      </c>
      <c r="E25" s="23" t="s">
        <v>25</v>
      </c>
      <c r="F25" s="23" t="s">
        <v>25</v>
      </c>
      <c r="G25" s="23" t="s">
        <v>23</v>
      </c>
      <c r="H25" s="24" t="s">
        <v>48</v>
      </c>
      <c r="J25" s="58"/>
      <c r="K25" s="22" t="s">
        <v>24</v>
      </c>
      <c r="L25" s="23" t="s">
        <v>23</v>
      </c>
      <c r="M25" s="23" t="s">
        <v>26</v>
      </c>
      <c r="N25" s="23" t="s">
        <v>25</v>
      </c>
      <c r="O25" s="23" t="s">
        <v>25</v>
      </c>
      <c r="P25" s="24" t="s">
        <v>26</v>
      </c>
      <c r="R25" s="58"/>
      <c r="S25" s="22" t="s">
        <v>25</v>
      </c>
      <c r="T25" s="23" t="s">
        <v>25</v>
      </c>
      <c r="U25" s="23" t="s">
        <v>31</v>
      </c>
      <c r="V25" s="23" t="s">
        <v>26</v>
      </c>
      <c r="W25" s="23" t="s">
        <v>30</v>
      </c>
      <c r="X25" s="24" t="s">
        <v>26</v>
      </c>
      <c r="Z25" s="58"/>
      <c r="AA25" s="30" t="s">
        <v>30</v>
      </c>
      <c r="AB25" s="21"/>
      <c r="AC25" s="21"/>
      <c r="AD25" s="21"/>
      <c r="AE25" s="21"/>
      <c r="AF25" s="21"/>
    </row>
    <row r="26" spans="1:32" ht="17.25" hidden="1" x14ac:dyDescent="0.35">
      <c r="A26" s="58"/>
      <c r="B26" s="17"/>
      <c r="C26" s="22" t="s">
        <v>26</v>
      </c>
      <c r="D26" s="23" t="s">
        <v>25</v>
      </c>
      <c r="E26" s="23" t="s">
        <v>26</v>
      </c>
      <c r="F26" s="23" t="s">
        <v>26</v>
      </c>
      <c r="G26" s="23" t="s">
        <v>48</v>
      </c>
      <c r="H26" s="24" t="s">
        <v>24</v>
      </c>
      <c r="J26" s="58"/>
      <c r="K26" s="22" t="s">
        <v>25</v>
      </c>
      <c r="L26" s="23" t="s">
        <v>25</v>
      </c>
      <c r="M26" s="23" t="s">
        <v>31</v>
      </c>
      <c r="N26" s="23" t="s">
        <v>26</v>
      </c>
      <c r="O26" s="23" t="s">
        <v>26</v>
      </c>
      <c r="P26" s="24" t="s">
        <v>32</v>
      </c>
      <c r="R26" s="58"/>
      <c r="S26" s="22" t="s">
        <v>26</v>
      </c>
      <c r="T26" s="23" t="s">
        <v>26</v>
      </c>
      <c r="U26" s="23" t="s">
        <v>33</v>
      </c>
      <c r="V26" s="23" t="s">
        <v>33</v>
      </c>
      <c r="W26" s="23" t="s">
        <v>38</v>
      </c>
      <c r="X26" s="24" t="s">
        <v>28</v>
      </c>
      <c r="Z26" s="58"/>
      <c r="AA26" s="30" t="s">
        <v>29</v>
      </c>
      <c r="AB26" s="21"/>
      <c r="AC26" s="21"/>
      <c r="AD26" s="21"/>
      <c r="AE26" s="21"/>
      <c r="AF26" s="21"/>
    </row>
    <row r="27" spans="1:32" ht="17.25" hidden="1" x14ac:dyDescent="0.35">
      <c r="A27" s="58"/>
      <c r="B27" s="17"/>
      <c r="C27" s="22" t="s">
        <v>49</v>
      </c>
      <c r="D27" s="23" t="s">
        <v>26</v>
      </c>
      <c r="E27" s="23" t="s">
        <v>28</v>
      </c>
      <c r="F27" s="23" t="s">
        <v>28</v>
      </c>
      <c r="G27" s="23" t="s">
        <v>25</v>
      </c>
      <c r="H27" s="24" t="s">
        <v>25</v>
      </c>
      <c r="J27" s="58"/>
      <c r="K27" s="22" t="s">
        <v>26</v>
      </c>
      <c r="L27" s="23" t="s">
        <v>26</v>
      </c>
      <c r="M27" s="23" t="s">
        <v>33</v>
      </c>
      <c r="N27" s="23" t="s">
        <v>33</v>
      </c>
      <c r="O27" s="23" t="s">
        <v>30</v>
      </c>
      <c r="P27" s="24" t="s">
        <v>33</v>
      </c>
      <c r="R27" s="58"/>
      <c r="S27" s="22" t="s">
        <v>32</v>
      </c>
      <c r="T27" s="23" t="s">
        <v>33</v>
      </c>
      <c r="U27" s="23" t="s">
        <v>36</v>
      </c>
      <c r="V27" s="23" t="s">
        <v>37</v>
      </c>
      <c r="W27" s="23" t="s">
        <v>33</v>
      </c>
      <c r="X27" s="24" t="s">
        <v>32</v>
      </c>
      <c r="Z27" s="58"/>
      <c r="AA27" s="30" t="s">
        <v>36</v>
      </c>
      <c r="AB27" s="21"/>
      <c r="AC27" s="21"/>
      <c r="AD27" s="21"/>
      <c r="AE27" s="21"/>
      <c r="AF27" s="21"/>
    </row>
    <row r="28" spans="1:32" ht="17.25" hidden="1" x14ac:dyDescent="0.35">
      <c r="A28" s="58"/>
      <c r="B28" s="17"/>
      <c r="C28" s="22" t="s">
        <v>31</v>
      </c>
      <c r="D28" s="23" t="s">
        <v>28</v>
      </c>
      <c r="E28" s="23" t="s">
        <v>31</v>
      </c>
      <c r="F28" s="23" t="s">
        <v>32</v>
      </c>
      <c r="G28" s="23" t="s">
        <v>26</v>
      </c>
      <c r="H28" s="24" t="s">
        <v>26</v>
      </c>
      <c r="J28" s="58"/>
      <c r="K28" s="22" t="s">
        <v>32</v>
      </c>
      <c r="L28" s="23" t="s">
        <v>28</v>
      </c>
      <c r="M28" s="23" t="s">
        <v>36</v>
      </c>
      <c r="N28" s="23" t="s">
        <v>37</v>
      </c>
      <c r="O28" s="23" t="s">
        <v>38</v>
      </c>
      <c r="P28" s="24" t="s">
        <v>36</v>
      </c>
      <c r="R28" s="58"/>
      <c r="S28" s="22" t="s">
        <v>31</v>
      </c>
      <c r="T28" s="23" t="s">
        <v>36</v>
      </c>
      <c r="U28" s="23" t="s">
        <v>39</v>
      </c>
      <c r="V28" s="23" t="s">
        <v>36</v>
      </c>
      <c r="W28" s="23" t="s">
        <v>37</v>
      </c>
      <c r="X28" s="24" t="s">
        <v>33</v>
      </c>
      <c r="Z28" s="58"/>
      <c r="AA28" s="31" t="s">
        <v>39</v>
      </c>
      <c r="AB28" s="21"/>
      <c r="AC28" s="21"/>
      <c r="AD28" s="21"/>
      <c r="AE28" s="21"/>
      <c r="AF28" s="21"/>
    </row>
    <row r="29" spans="1:32" ht="17.25" hidden="1" x14ac:dyDescent="0.35">
      <c r="A29" s="58"/>
      <c r="B29" s="17"/>
      <c r="C29" s="22" t="s">
        <v>30</v>
      </c>
      <c r="D29" s="23" t="s">
        <v>32</v>
      </c>
      <c r="E29" s="23" t="s">
        <v>29</v>
      </c>
      <c r="F29" s="23" t="s">
        <v>31</v>
      </c>
      <c r="G29" s="23" t="s">
        <v>28</v>
      </c>
      <c r="H29" s="24" t="s">
        <v>28</v>
      </c>
      <c r="J29" s="58"/>
      <c r="K29" s="22" t="s">
        <v>31</v>
      </c>
      <c r="L29" s="23" t="s">
        <v>38</v>
      </c>
      <c r="M29" s="23" t="s">
        <v>39</v>
      </c>
      <c r="N29" s="23" t="s">
        <v>36</v>
      </c>
      <c r="O29" s="23" t="s">
        <v>33</v>
      </c>
      <c r="P29" s="24" t="s">
        <v>39</v>
      </c>
      <c r="R29" s="58"/>
      <c r="S29" s="22" t="s">
        <v>30</v>
      </c>
      <c r="T29" s="23" t="s">
        <v>39</v>
      </c>
      <c r="U29" s="23" t="s">
        <v>42</v>
      </c>
      <c r="V29" s="23" t="s">
        <v>39</v>
      </c>
      <c r="W29" s="23" t="s">
        <v>36</v>
      </c>
      <c r="X29" s="24" t="s">
        <v>37</v>
      </c>
      <c r="Z29" s="28"/>
      <c r="AA29" s="21"/>
      <c r="AB29" s="21"/>
      <c r="AC29" s="21"/>
      <c r="AD29" s="21"/>
      <c r="AE29" s="21"/>
      <c r="AF29" s="21"/>
    </row>
    <row r="30" spans="1:32" ht="17.25" hidden="1" x14ac:dyDescent="0.35">
      <c r="A30" s="58"/>
      <c r="B30" s="17"/>
      <c r="C30" s="22" t="s">
        <v>33</v>
      </c>
      <c r="D30" s="23" t="s">
        <v>30</v>
      </c>
      <c r="E30" s="23" t="s">
        <v>33</v>
      </c>
      <c r="F30" s="23" t="s">
        <v>38</v>
      </c>
      <c r="G30" s="23" t="s">
        <v>30</v>
      </c>
      <c r="H30" s="24" t="s">
        <v>32</v>
      </c>
      <c r="J30" s="58"/>
      <c r="K30" s="22" t="s">
        <v>30</v>
      </c>
      <c r="L30" s="23" t="s">
        <v>33</v>
      </c>
      <c r="M30" s="23"/>
      <c r="N30" s="23" t="s">
        <v>39</v>
      </c>
      <c r="O30" s="23" t="s">
        <v>37</v>
      </c>
      <c r="P30" s="24"/>
      <c r="R30" s="58"/>
      <c r="S30" s="22" t="s">
        <v>33</v>
      </c>
      <c r="T30" s="23"/>
      <c r="U30" s="23"/>
      <c r="V30" s="23" t="s">
        <v>42</v>
      </c>
      <c r="W30" s="23"/>
      <c r="X30" s="24" t="s">
        <v>36</v>
      </c>
      <c r="Z30" s="28"/>
      <c r="AA30" s="21"/>
      <c r="AB30" s="21"/>
      <c r="AC30" s="21"/>
      <c r="AD30" s="21"/>
      <c r="AE30" s="21"/>
      <c r="AF30" s="21"/>
    </row>
    <row r="31" spans="1:32" ht="17.25" hidden="1" x14ac:dyDescent="0.35">
      <c r="A31" s="58"/>
      <c r="B31" s="17"/>
      <c r="C31" s="22" t="s">
        <v>37</v>
      </c>
      <c r="D31" s="23" t="s">
        <v>33</v>
      </c>
      <c r="E31" s="23" t="s">
        <v>36</v>
      </c>
      <c r="F31" s="23" t="s">
        <v>33</v>
      </c>
      <c r="G31" s="23" t="s">
        <v>29</v>
      </c>
      <c r="H31" s="24" t="s">
        <v>29</v>
      </c>
      <c r="J31" s="58"/>
      <c r="K31" s="22" t="s">
        <v>33</v>
      </c>
      <c r="L31" s="23" t="s">
        <v>37</v>
      </c>
      <c r="M31" s="23"/>
      <c r="N31" s="23" t="s">
        <v>42</v>
      </c>
      <c r="O31" s="23" t="s">
        <v>36</v>
      </c>
      <c r="P31" s="24"/>
      <c r="R31" s="58"/>
      <c r="S31" s="22" t="s">
        <v>36</v>
      </c>
      <c r="T31" s="23"/>
      <c r="U31" s="23"/>
      <c r="V31" s="23"/>
      <c r="W31" s="23"/>
      <c r="X31" s="24" t="s">
        <v>39</v>
      </c>
      <c r="Z31" s="28"/>
      <c r="AA31" s="21"/>
      <c r="AB31" s="21"/>
      <c r="AC31" s="21"/>
      <c r="AD31" s="21"/>
      <c r="AE31" s="21"/>
      <c r="AF31" s="21"/>
    </row>
    <row r="32" spans="1:32" ht="17.25" hidden="1" x14ac:dyDescent="0.35">
      <c r="A32" s="58"/>
      <c r="B32" s="17"/>
      <c r="C32" s="22" t="s">
        <v>36</v>
      </c>
      <c r="D32" s="23" t="s">
        <v>36</v>
      </c>
      <c r="E32" s="23" t="s">
        <v>39</v>
      </c>
      <c r="F32" s="23" t="s">
        <v>37</v>
      </c>
      <c r="G32" s="23" t="s">
        <v>38</v>
      </c>
      <c r="H32" s="24" t="s">
        <v>33</v>
      </c>
      <c r="J32" s="58"/>
      <c r="K32" s="22" t="s">
        <v>37</v>
      </c>
      <c r="L32" s="23" t="s">
        <v>36</v>
      </c>
      <c r="M32" s="23"/>
      <c r="N32" s="23"/>
      <c r="O32" s="23"/>
      <c r="P32" s="24"/>
      <c r="R32" s="58"/>
      <c r="S32" s="22" t="s">
        <v>39</v>
      </c>
      <c r="T32" s="23"/>
      <c r="U32" s="23"/>
      <c r="V32" s="23"/>
      <c r="W32" s="23"/>
      <c r="X32" s="24"/>
      <c r="Z32" s="28"/>
      <c r="AA32" s="21"/>
      <c r="AB32" s="21"/>
      <c r="AC32" s="21"/>
      <c r="AD32" s="21"/>
      <c r="AE32" s="21"/>
      <c r="AF32" s="21"/>
    </row>
    <row r="33" spans="1:32" ht="17.25" hidden="1" x14ac:dyDescent="0.35">
      <c r="A33" s="58"/>
      <c r="B33" s="17"/>
      <c r="C33" s="22" t="s">
        <v>39</v>
      </c>
      <c r="D33" s="23" t="s">
        <v>39</v>
      </c>
      <c r="E33" s="23" t="s">
        <v>42</v>
      </c>
      <c r="F33" s="23" t="s">
        <v>36</v>
      </c>
      <c r="G33" s="23" t="s">
        <v>33</v>
      </c>
      <c r="H33" s="24" t="s">
        <v>37</v>
      </c>
      <c r="J33" s="58"/>
      <c r="K33" s="22" t="s">
        <v>36</v>
      </c>
      <c r="L33" s="23" t="s">
        <v>39</v>
      </c>
      <c r="M33" s="23"/>
      <c r="N33" s="23"/>
      <c r="O33" s="23"/>
      <c r="P33" s="24"/>
      <c r="R33" s="58"/>
      <c r="S33" s="25" t="s">
        <v>42</v>
      </c>
      <c r="T33" s="26"/>
      <c r="U33" s="26"/>
      <c r="V33" s="26"/>
      <c r="W33" s="26"/>
      <c r="X33" s="27"/>
      <c r="Z33" s="28"/>
      <c r="AA33" s="21"/>
      <c r="AB33" s="21"/>
      <c r="AC33" s="21"/>
      <c r="AD33" s="21"/>
      <c r="AE33" s="21"/>
      <c r="AF33" s="21"/>
    </row>
    <row r="34" spans="1:32" ht="17.25" hidden="1" x14ac:dyDescent="0.35">
      <c r="A34" s="58"/>
      <c r="B34" s="17"/>
      <c r="C34" s="22"/>
      <c r="D34" s="23" t="s">
        <v>42</v>
      </c>
      <c r="E34" s="23" t="s">
        <v>41</v>
      </c>
      <c r="F34" s="23" t="s">
        <v>39</v>
      </c>
      <c r="G34" s="23" t="s">
        <v>37</v>
      </c>
      <c r="H34" s="24" t="s">
        <v>36</v>
      </c>
      <c r="J34" s="58"/>
      <c r="K34" s="25" t="s">
        <v>39</v>
      </c>
      <c r="L34" s="26"/>
      <c r="M34" s="26"/>
      <c r="N34" s="26"/>
      <c r="O34" s="26"/>
      <c r="P34" s="27"/>
      <c r="R34" s="28"/>
      <c r="S34" s="21"/>
      <c r="T34" s="21"/>
      <c r="U34" s="21"/>
      <c r="V34" s="21"/>
      <c r="W34" s="21"/>
      <c r="X34" s="21"/>
      <c r="Z34" s="28"/>
      <c r="AA34" s="21"/>
      <c r="AB34" s="21"/>
      <c r="AC34" s="21"/>
      <c r="AD34" s="21"/>
      <c r="AE34" s="21"/>
      <c r="AF34" s="21"/>
    </row>
    <row r="35" spans="1:32" ht="17.25" hidden="1" x14ac:dyDescent="0.35">
      <c r="A35" s="58"/>
      <c r="B35" s="17"/>
      <c r="C35" s="22"/>
      <c r="D35" s="23" t="s">
        <v>41</v>
      </c>
      <c r="E35" s="23"/>
      <c r="F35" s="23" t="s">
        <v>42</v>
      </c>
      <c r="G35" s="23" t="s">
        <v>36</v>
      </c>
      <c r="H35" s="24" t="s">
        <v>39</v>
      </c>
      <c r="J35" s="28"/>
      <c r="K35" s="21"/>
      <c r="L35" s="21"/>
      <c r="M35" s="21"/>
      <c r="N35" s="21"/>
      <c r="O35" s="21"/>
      <c r="P35" s="21"/>
      <c r="R35" s="28"/>
      <c r="S35" s="21"/>
      <c r="T35" s="21"/>
      <c r="U35" s="21"/>
      <c r="V35" s="21"/>
      <c r="W35" s="21"/>
      <c r="X35" s="21"/>
      <c r="Z35" s="28"/>
      <c r="AA35" s="21"/>
      <c r="AB35" s="21"/>
      <c r="AC35" s="21"/>
      <c r="AD35" s="21"/>
      <c r="AE35" s="21"/>
      <c r="AF35" s="21"/>
    </row>
    <row r="36" spans="1:32" ht="17.25" hidden="1" x14ac:dyDescent="0.35">
      <c r="A36" s="58"/>
      <c r="B36" s="17"/>
      <c r="C36" s="22"/>
      <c r="D36" s="23"/>
      <c r="E36" s="23"/>
      <c r="F36" s="23" t="s">
        <v>41</v>
      </c>
      <c r="G36" s="23" t="s">
        <v>39</v>
      </c>
      <c r="H36" s="24" t="s">
        <v>41</v>
      </c>
      <c r="J36" s="28"/>
      <c r="K36" s="21"/>
      <c r="L36" s="21"/>
      <c r="M36" s="21"/>
      <c r="N36" s="21"/>
      <c r="O36" s="21"/>
      <c r="P36" s="21"/>
      <c r="R36" s="28"/>
      <c r="S36" s="21"/>
      <c r="T36" s="21"/>
      <c r="U36" s="21"/>
      <c r="V36" s="21"/>
      <c r="W36" s="21"/>
      <c r="X36" s="21"/>
      <c r="Z36" s="28"/>
      <c r="AA36" s="21"/>
      <c r="AB36" s="21"/>
      <c r="AC36" s="21"/>
      <c r="AD36" s="21"/>
      <c r="AE36" s="21"/>
      <c r="AF36" s="21"/>
    </row>
    <row r="37" spans="1:32" ht="17.25" hidden="1" x14ac:dyDescent="0.35">
      <c r="A37" s="58"/>
      <c r="B37" s="17"/>
      <c r="C37" s="25"/>
      <c r="D37" s="26"/>
      <c r="E37" s="26"/>
      <c r="F37" s="26"/>
      <c r="G37" s="26" t="s">
        <v>42</v>
      </c>
      <c r="H37" s="27"/>
      <c r="J37" s="28"/>
      <c r="K37" s="21"/>
      <c r="L37" s="21"/>
      <c r="M37" s="21"/>
      <c r="N37" s="21"/>
      <c r="O37" s="21"/>
      <c r="P37" s="21"/>
      <c r="R37" s="28"/>
      <c r="S37" s="21"/>
      <c r="T37" s="21"/>
      <c r="U37" s="21"/>
      <c r="V37" s="21"/>
      <c r="W37" s="21"/>
      <c r="X37" s="21"/>
      <c r="Z37" s="28"/>
      <c r="AA37" s="21"/>
      <c r="AB37" s="21"/>
      <c r="AC37" s="21"/>
      <c r="AD37" s="21"/>
      <c r="AE37" s="21"/>
      <c r="AF37" s="21"/>
    </row>
    <row r="38" spans="1:32" ht="17.25" hidden="1" x14ac:dyDescent="0.35">
      <c r="C38" s="21"/>
      <c r="D38" s="21"/>
      <c r="E38" s="21"/>
      <c r="F38" s="21"/>
      <c r="G38" s="21"/>
      <c r="H38" s="21"/>
      <c r="K38" s="21"/>
      <c r="L38" s="21"/>
      <c r="M38" s="21"/>
      <c r="N38" s="21"/>
      <c r="O38" s="21"/>
      <c r="P38" s="21"/>
      <c r="S38" s="21"/>
      <c r="T38" s="21"/>
      <c r="U38" s="21"/>
      <c r="V38" s="21"/>
      <c r="W38" s="21"/>
      <c r="X38" s="21"/>
      <c r="AA38" s="21"/>
      <c r="AB38" s="21"/>
      <c r="AC38" s="21"/>
      <c r="AD38" s="21"/>
      <c r="AE38" s="21"/>
      <c r="AF38" s="21"/>
    </row>
    <row r="39" spans="1:32" s="16" customFormat="1" ht="17.25" hidden="1" thickBot="1" x14ac:dyDescent="0.35">
      <c r="A39" s="16" t="s">
        <v>40</v>
      </c>
      <c r="C39" s="15" t="s">
        <v>0</v>
      </c>
      <c r="D39" s="15" t="s">
        <v>8</v>
      </c>
      <c r="E39" s="15" t="s">
        <v>9</v>
      </c>
      <c r="F39" s="15" t="s">
        <v>10</v>
      </c>
      <c r="G39" s="15" t="s">
        <v>11</v>
      </c>
      <c r="H39" s="15" t="s">
        <v>12</v>
      </c>
      <c r="J39" s="16" t="s">
        <v>50</v>
      </c>
      <c r="K39" s="15" t="s">
        <v>0</v>
      </c>
      <c r="L39" s="15" t="s">
        <v>8</v>
      </c>
      <c r="M39" s="15" t="s">
        <v>9</v>
      </c>
      <c r="N39" s="15" t="s">
        <v>10</v>
      </c>
      <c r="O39" s="15" t="s">
        <v>11</v>
      </c>
      <c r="P39" s="15" t="s">
        <v>12</v>
      </c>
      <c r="R39" s="16" t="s">
        <v>51</v>
      </c>
      <c r="S39" s="15" t="s">
        <v>0</v>
      </c>
      <c r="T39" s="15" t="s">
        <v>8</v>
      </c>
      <c r="U39" s="15" t="s">
        <v>9</v>
      </c>
      <c r="V39" s="15" t="s">
        <v>10</v>
      </c>
      <c r="W39" s="15" t="s">
        <v>11</v>
      </c>
      <c r="X39" s="15" t="s">
        <v>12</v>
      </c>
    </row>
    <row r="40" spans="1:32" ht="15.75" hidden="1" customHeight="1" thickTop="1" x14ac:dyDescent="0.35">
      <c r="A40" s="58" t="s">
        <v>16</v>
      </c>
      <c r="B40" s="17"/>
      <c r="C40" s="18" t="s">
        <v>17</v>
      </c>
      <c r="D40" s="19" t="s">
        <v>17</v>
      </c>
      <c r="E40" s="19" t="s">
        <v>17</v>
      </c>
      <c r="F40" s="19" t="s">
        <v>17</v>
      </c>
      <c r="G40" s="19" t="s">
        <v>17</v>
      </c>
      <c r="H40" s="20" t="s">
        <v>17</v>
      </c>
      <c r="J40" s="58" t="s">
        <v>16</v>
      </c>
      <c r="K40" s="18" t="s">
        <v>17</v>
      </c>
      <c r="L40" s="19" t="s">
        <v>17</v>
      </c>
      <c r="M40" s="19" t="s">
        <v>17</v>
      </c>
      <c r="N40" s="19" t="s">
        <v>17</v>
      </c>
      <c r="O40" s="19" t="s">
        <v>17</v>
      </c>
      <c r="P40" s="20" t="s">
        <v>20</v>
      </c>
      <c r="R40" s="58" t="s">
        <v>16</v>
      </c>
      <c r="S40" s="18" t="s">
        <v>17</v>
      </c>
      <c r="T40" s="19" t="s">
        <v>17</v>
      </c>
      <c r="U40" s="19" t="s">
        <v>17</v>
      </c>
      <c r="V40" s="19" t="s">
        <v>17</v>
      </c>
      <c r="W40" s="19" t="s">
        <v>17</v>
      </c>
      <c r="X40" s="20" t="s">
        <v>20</v>
      </c>
      <c r="Z40" s="32"/>
    </row>
    <row r="41" spans="1:32" ht="17.25" hidden="1" x14ac:dyDescent="0.35">
      <c r="A41" s="58"/>
      <c r="B41" s="17"/>
      <c r="C41" s="22" t="s">
        <v>20</v>
      </c>
      <c r="D41" s="23" t="s">
        <v>20</v>
      </c>
      <c r="E41" s="23" t="s">
        <v>20</v>
      </c>
      <c r="F41" s="23" t="s">
        <v>21</v>
      </c>
      <c r="G41" s="23" t="s">
        <v>20</v>
      </c>
      <c r="H41" s="24" t="s">
        <v>20</v>
      </c>
      <c r="J41" s="58"/>
      <c r="K41" s="22" t="s">
        <v>20</v>
      </c>
      <c r="L41" s="23" t="s">
        <v>21</v>
      </c>
      <c r="M41" s="23" t="s">
        <v>22</v>
      </c>
      <c r="N41" s="23" t="s">
        <v>21</v>
      </c>
      <c r="O41" s="23" t="s">
        <v>20</v>
      </c>
      <c r="P41" s="24" t="s">
        <v>22</v>
      </c>
      <c r="R41" s="58"/>
      <c r="S41" s="22" t="s">
        <v>20</v>
      </c>
      <c r="T41" s="23" t="s">
        <v>20</v>
      </c>
      <c r="U41" s="23" t="s">
        <v>22</v>
      </c>
      <c r="V41" s="23" t="s">
        <v>22</v>
      </c>
      <c r="W41" s="23" t="s">
        <v>25</v>
      </c>
      <c r="X41" s="24" t="s">
        <v>22</v>
      </c>
      <c r="Z41" s="32"/>
    </row>
    <row r="42" spans="1:32" ht="17.25" hidden="1" x14ac:dyDescent="0.35">
      <c r="A42" s="58"/>
      <c r="B42" s="17"/>
      <c r="C42" s="22" t="s">
        <v>21</v>
      </c>
      <c r="D42" s="23" t="s">
        <v>21</v>
      </c>
      <c r="E42" s="23" t="s">
        <v>22</v>
      </c>
      <c r="F42" s="23" t="s">
        <v>24</v>
      </c>
      <c r="G42" s="23" t="s">
        <v>48</v>
      </c>
      <c r="H42" s="24" t="s">
        <v>22</v>
      </c>
      <c r="J42" s="58"/>
      <c r="K42" s="22" t="s">
        <v>21</v>
      </c>
      <c r="L42" s="23" t="s">
        <v>25</v>
      </c>
      <c r="M42" s="23" t="s">
        <v>21</v>
      </c>
      <c r="N42" s="23" t="s">
        <v>25</v>
      </c>
      <c r="O42" s="23" t="s">
        <v>22</v>
      </c>
      <c r="P42" s="24" t="s">
        <v>25</v>
      </c>
      <c r="R42" s="58"/>
      <c r="S42" s="22" t="s">
        <v>22</v>
      </c>
      <c r="T42" s="23" t="s">
        <v>22</v>
      </c>
      <c r="U42" s="23" t="s">
        <v>21</v>
      </c>
      <c r="V42" s="23" t="s">
        <v>21</v>
      </c>
      <c r="W42" s="23" t="s">
        <v>26</v>
      </c>
      <c r="X42" s="24" t="s">
        <v>24</v>
      </c>
      <c r="Z42" s="32"/>
    </row>
    <row r="43" spans="1:32" ht="17.25" hidden="1" x14ac:dyDescent="0.35">
      <c r="A43" s="58"/>
      <c r="B43" s="17"/>
      <c r="C43" s="22" t="s">
        <v>23</v>
      </c>
      <c r="D43" s="23" t="s">
        <v>48</v>
      </c>
      <c r="E43" s="23" t="s">
        <v>21</v>
      </c>
      <c r="F43" s="23" t="s">
        <v>25</v>
      </c>
      <c r="G43" s="23" t="s">
        <v>24</v>
      </c>
      <c r="H43" s="24" t="s">
        <v>48</v>
      </c>
      <c r="J43" s="58"/>
      <c r="K43" s="22" t="s">
        <v>23</v>
      </c>
      <c r="L43" s="23" t="s">
        <v>26</v>
      </c>
      <c r="M43" s="23" t="s">
        <v>25</v>
      </c>
      <c r="N43" s="23" t="s">
        <v>26</v>
      </c>
      <c r="O43" s="23" t="s">
        <v>25</v>
      </c>
      <c r="P43" s="24" t="s">
        <v>26</v>
      </c>
      <c r="R43" s="58"/>
      <c r="S43" s="22" t="s">
        <v>21</v>
      </c>
      <c r="T43" s="23" t="s">
        <v>21</v>
      </c>
      <c r="U43" s="23" t="s">
        <v>25</v>
      </c>
      <c r="V43" s="23" t="s">
        <v>24</v>
      </c>
      <c r="W43" s="23" t="s">
        <v>28</v>
      </c>
      <c r="X43" s="24" t="s">
        <v>25</v>
      </c>
      <c r="Z43" s="32"/>
    </row>
    <row r="44" spans="1:32" ht="17.25" hidden="1" x14ac:dyDescent="0.35">
      <c r="A44" s="58"/>
      <c r="B44" s="17"/>
      <c r="C44" s="22" t="s">
        <v>48</v>
      </c>
      <c r="D44" s="23" t="s">
        <v>25</v>
      </c>
      <c r="E44" s="23" t="s">
        <v>48</v>
      </c>
      <c r="F44" s="23" t="s">
        <v>26</v>
      </c>
      <c r="G44" s="23" t="s">
        <v>25</v>
      </c>
      <c r="H44" s="24" t="s">
        <v>24</v>
      </c>
      <c r="J44" s="58"/>
      <c r="K44" s="22" t="s">
        <v>25</v>
      </c>
      <c r="L44" s="23" t="s">
        <v>28</v>
      </c>
      <c r="M44" s="23" t="s">
        <v>26</v>
      </c>
      <c r="N44" s="23" t="s">
        <v>29</v>
      </c>
      <c r="O44" s="23" t="s">
        <v>26</v>
      </c>
      <c r="P44" s="24" t="s">
        <v>38</v>
      </c>
      <c r="R44" s="58"/>
      <c r="S44" s="22" t="s">
        <v>23</v>
      </c>
      <c r="T44" s="23" t="s">
        <v>24</v>
      </c>
      <c r="U44" s="23" t="s">
        <v>26</v>
      </c>
      <c r="V44" s="23" t="s">
        <v>25</v>
      </c>
      <c r="W44" s="23" t="s">
        <v>29</v>
      </c>
      <c r="X44" s="24" t="s">
        <v>26</v>
      </c>
      <c r="Z44" s="32"/>
    </row>
    <row r="45" spans="1:32" ht="17.25" hidden="1" x14ac:dyDescent="0.35">
      <c r="A45" s="58"/>
      <c r="B45" s="17"/>
      <c r="C45" s="22" t="s">
        <v>24</v>
      </c>
      <c r="D45" s="23" t="s">
        <v>26</v>
      </c>
      <c r="E45" s="23" t="s">
        <v>24</v>
      </c>
      <c r="F45" s="23" t="s">
        <v>32</v>
      </c>
      <c r="G45" s="23" t="s">
        <v>26</v>
      </c>
      <c r="H45" s="24" t="s">
        <v>25</v>
      </c>
      <c r="J45" s="58"/>
      <c r="K45" s="22" t="s">
        <v>26</v>
      </c>
      <c r="L45" s="23" t="s">
        <v>29</v>
      </c>
      <c r="M45" s="23" t="s">
        <v>28</v>
      </c>
      <c r="N45" s="23" t="s">
        <v>33</v>
      </c>
      <c r="O45" s="23" t="s">
        <v>30</v>
      </c>
      <c r="P45" s="24" t="s">
        <v>33</v>
      </c>
      <c r="R45" s="58"/>
      <c r="S45" s="22" t="s">
        <v>24</v>
      </c>
      <c r="T45" s="23" t="s">
        <v>25</v>
      </c>
      <c r="U45" s="23" t="s">
        <v>38</v>
      </c>
      <c r="V45" s="23" t="s">
        <v>26</v>
      </c>
      <c r="W45" s="23" t="s">
        <v>33</v>
      </c>
      <c r="X45" s="24" t="s">
        <v>28</v>
      </c>
      <c r="Z45" s="32"/>
    </row>
    <row r="46" spans="1:32" ht="17.25" hidden="1" x14ac:dyDescent="0.35">
      <c r="A46" s="58"/>
      <c r="B46" s="17"/>
      <c r="C46" s="22" t="s">
        <v>25</v>
      </c>
      <c r="D46" s="23" t="s">
        <v>28</v>
      </c>
      <c r="E46" s="23" t="s">
        <v>25</v>
      </c>
      <c r="F46" s="23" t="s">
        <v>30</v>
      </c>
      <c r="G46" s="23" t="s">
        <v>28</v>
      </c>
      <c r="H46" s="24" t="s">
        <v>26</v>
      </c>
      <c r="J46" s="58"/>
      <c r="K46" s="22" t="s">
        <v>33</v>
      </c>
      <c r="L46" s="23" t="s">
        <v>33</v>
      </c>
      <c r="M46" s="23" t="s">
        <v>33</v>
      </c>
      <c r="N46" s="23" t="s">
        <v>37</v>
      </c>
      <c r="O46" s="23" t="s">
        <v>29</v>
      </c>
      <c r="P46" s="24" t="s">
        <v>36</v>
      </c>
      <c r="R46" s="58"/>
      <c r="S46" s="22" t="s">
        <v>25</v>
      </c>
      <c r="T46" s="23" t="s">
        <v>26</v>
      </c>
      <c r="U46" s="23" t="s">
        <v>33</v>
      </c>
      <c r="V46" s="23" t="s">
        <v>29</v>
      </c>
      <c r="W46" s="23" t="s">
        <v>37</v>
      </c>
      <c r="X46" s="24" t="s">
        <v>32</v>
      </c>
      <c r="Z46" s="32"/>
    </row>
    <row r="47" spans="1:32" ht="17.25" hidden="1" x14ac:dyDescent="0.35">
      <c r="A47" s="58"/>
      <c r="B47" s="17"/>
      <c r="C47" s="22" t="s">
        <v>26</v>
      </c>
      <c r="D47" s="23" t="s">
        <v>32</v>
      </c>
      <c r="E47" s="23" t="s">
        <v>26</v>
      </c>
      <c r="F47" s="23" t="s">
        <v>29</v>
      </c>
      <c r="G47" s="23" t="s">
        <v>30</v>
      </c>
      <c r="H47" s="24" t="s">
        <v>28</v>
      </c>
      <c r="J47" s="58"/>
      <c r="K47" s="22" t="s">
        <v>36</v>
      </c>
      <c r="L47" s="23" t="s">
        <v>36</v>
      </c>
      <c r="M47" s="23" t="s">
        <v>36</v>
      </c>
      <c r="N47" s="23"/>
      <c r="O47" s="23" t="s">
        <v>33</v>
      </c>
      <c r="P47" s="24"/>
      <c r="R47" s="58"/>
      <c r="S47" s="22" t="s">
        <v>26</v>
      </c>
      <c r="T47" s="23" t="s">
        <v>28</v>
      </c>
      <c r="U47" s="23" t="s">
        <v>37</v>
      </c>
      <c r="V47" s="23" t="s">
        <v>33</v>
      </c>
      <c r="W47" s="23" t="s">
        <v>36</v>
      </c>
      <c r="X47" s="24" t="s">
        <v>30</v>
      </c>
      <c r="Z47" s="32"/>
    </row>
    <row r="48" spans="1:32" ht="17.25" hidden="1" x14ac:dyDescent="0.35">
      <c r="A48" s="58"/>
      <c r="B48" s="17"/>
      <c r="C48" s="22" t="s">
        <v>28</v>
      </c>
      <c r="D48" s="23" t="s">
        <v>30</v>
      </c>
      <c r="E48" s="23" t="s">
        <v>28</v>
      </c>
      <c r="F48" s="23" t="s">
        <v>33</v>
      </c>
      <c r="G48" s="23" t="s">
        <v>29</v>
      </c>
      <c r="H48" s="24" t="s">
        <v>32</v>
      </c>
      <c r="J48" s="58"/>
      <c r="K48" s="22" t="s">
        <v>39</v>
      </c>
      <c r="L48" s="23"/>
      <c r="M48" s="23"/>
      <c r="N48" s="23"/>
      <c r="O48" s="23" t="s">
        <v>37</v>
      </c>
      <c r="P48" s="24"/>
      <c r="R48" s="58"/>
      <c r="S48" s="22" t="s">
        <v>28</v>
      </c>
      <c r="T48" s="23" t="s">
        <v>29</v>
      </c>
      <c r="U48" s="23"/>
      <c r="V48" s="23" t="s">
        <v>37</v>
      </c>
      <c r="W48" s="23" t="s">
        <v>42</v>
      </c>
      <c r="X48" s="24" t="s">
        <v>38</v>
      </c>
      <c r="Z48" s="32"/>
    </row>
    <row r="49" spans="1:26" ht="17.25" hidden="1" x14ac:dyDescent="0.35">
      <c r="A49" s="58"/>
      <c r="B49" s="17"/>
      <c r="C49" s="22" t="s">
        <v>31</v>
      </c>
      <c r="D49" s="23" t="s">
        <v>29</v>
      </c>
      <c r="E49" s="23" t="s">
        <v>29</v>
      </c>
      <c r="F49" s="23" t="s">
        <v>37</v>
      </c>
      <c r="G49" s="23" t="s">
        <v>33</v>
      </c>
      <c r="H49" s="24" t="s">
        <v>38</v>
      </c>
      <c r="J49" s="58"/>
      <c r="K49" s="22"/>
      <c r="L49" s="23"/>
      <c r="M49" s="23"/>
      <c r="N49" s="23"/>
      <c r="O49" s="23" t="s">
        <v>36</v>
      </c>
      <c r="P49" s="24"/>
      <c r="R49" s="58"/>
      <c r="S49" s="22" t="s">
        <v>30</v>
      </c>
      <c r="T49" s="23" t="s">
        <v>38</v>
      </c>
      <c r="U49" s="23"/>
      <c r="V49" s="23"/>
      <c r="W49" s="23" t="s">
        <v>41</v>
      </c>
      <c r="X49" s="24" t="s">
        <v>33</v>
      </c>
      <c r="Z49" s="32"/>
    </row>
    <row r="50" spans="1:26" ht="17.25" hidden="1" x14ac:dyDescent="0.35">
      <c r="A50" s="58"/>
      <c r="B50" s="17"/>
      <c r="C50" s="22" t="s">
        <v>29</v>
      </c>
      <c r="D50" s="23" t="s">
        <v>33</v>
      </c>
      <c r="E50" s="23" t="s">
        <v>33</v>
      </c>
      <c r="F50" s="23" t="s">
        <v>36</v>
      </c>
      <c r="G50" s="23" t="s">
        <v>37</v>
      </c>
      <c r="H50" s="24" t="s">
        <v>33</v>
      </c>
      <c r="J50" s="58"/>
      <c r="K50" s="25"/>
      <c r="L50" s="26"/>
      <c r="M50" s="26"/>
      <c r="N50" s="26"/>
      <c r="O50" s="26" t="s">
        <v>42</v>
      </c>
      <c r="P50" s="27"/>
      <c r="R50" s="58"/>
      <c r="S50" s="22" t="s">
        <v>33</v>
      </c>
      <c r="T50" s="23" t="s">
        <v>33</v>
      </c>
      <c r="U50" s="23"/>
      <c r="V50" s="23"/>
      <c r="W50" s="23"/>
      <c r="X50" s="24" t="s">
        <v>37</v>
      </c>
      <c r="Z50" s="32"/>
    </row>
    <row r="51" spans="1:26" ht="17.25" hidden="1" x14ac:dyDescent="0.35">
      <c r="A51" s="58"/>
      <c r="B51" s="17"/>
      <c r="C51" s="22" t="s">
        <v>38</v>
      </c>
      <c r="D51" s="23" t="s">
        <v>36</v>
      </c>
      <c r="E51" s="23" t="s">
        <v>37</v>
      </c>
      <c r="F51" s="23" t="s">
        <v>39</v>
      </c>
      <c r="G51" s="23" t="s">
        <v>36</v>
      </c>
      <c r="H51" s="24" t="s">
        <v>37</v>
      </c>
      <c r="J51" s="28"/>
      <c r="K51" s="21"/>
      <c r="L51" s="21"/>
      <c r="M51" s="21"/>
      <c r="N51" s="21"/>
      <c r="O51" s="21"/>
      <c r="P51" s="21"/>
      <c r="R51" s="58"/>
      <c r="S51" s="22" t="s">
        <v>36</v>
      </c>
      <c r="T51" s="23" t="s">
        <v>37</v>
      </c>
      <c r="U51" s="23"/>
      <c r="V51" s="23"/>
      <c r="W51" s="23"/>
      <c r="X51" s="24" t="s">
        <v>36</v>
      </c>
    </row>
    <row r="52" spans="1:26" ht="17.25" hidden="1" x14ac:dyDescent="0.35">
      <c r="A52" s="58"/>
      <c r="B52" s="17"/>
      <c r="C52" s="22" t="s">
        <v>33</v>
      </c>
      <c r="D52" s="23" t="s">
        <v>39</v>
      </c>
      <c r="E52" s="23" t="s">
        <v>36</v>
      </c>
      <c r="F52" s="23" t="s">
        <v>42</v>
      </c>
      <c r="G52" s="23" t="s">
        <v>39</v>
      </c>
      <c r="H52" s="24" t="s">
        <v>36</v>
      </c>
      <c r="J52" s="28"/>
      <c r="K52" s="21"/>
      <c r="L52" s="21"/>
      <c r="M52" s="21"/>
      <c r="N52" s="21"/>
      <c r="O52" s="21"/>
      <c r="P52" s="21"/>
      <c r="R52" s="58"/>
      <c r="S52" s="25" t="s">
        <v>39</v>
      </c>
      <c r="T52" s="26" t="s">
        <v>36</v>
      </c>
      <c r="U52" s="26"/>
      <c r="V52" s="26"/>
      <c r="W52" s="26"/>
      <c r="X52" s="27"/>
    </row>
    <row r="53" spans="1:26" ht="17.25" hidden="1" x14ac:dyDescent="0.35">
      <c r="A53" s="58"/>
      <c r="B53" s="17"/>
      <c r="C53" s="22" t="s">
        <v>36</v>
      </c>
      <c r="D53" s="23"/>
      <c r="E53" s="23" t="s">
        <v>39</v>
      </c>
      <c r="F53" s="23" t="s">
        <v>41</v>
      </c>
      <c r="G53" s="23"/>
      <c r="H53" s="24" t="s">
        <v>39</v>
      </c>
      <c r="J53" s="28"/>
      <c r="K53" s="21"/>
      <c r="L53" s="21"/>
      <c r="M53" s="21"/>
      <c r="N53" s="21"/>
      <c r="O53" s="21"/>
      <c r="P53" s="21"/>
      <c r="R53" s="28"/>
      <c r="S53" s="21"/>
      <c r="T53" s="21"/>
      <c r="U53" s="21"/>
      <c r="V53" s="21"/>
      <c r="W53" s="21"/>
      <c r="X53" s="21"/>
    </row>
    <row r="54" spans="1:26" ht="17.25" hidden="1" x14ac:dyDescent="0.35">
      <c r="A54" s="58"/>
      <c r="B54" s="17"/>
      <c r="C54" s="22" t="s">
        <v>39</v>
      </c>
      <c r="D54" s="23"/>
      <c r="E54" s="23" t="s">
        <v>42</v>
      </c>
      <c r="F54" s="23"/>
      <c r="G54" s="23"/>
      <c r="H54" s="24" t="s">
        <v>41</v>
      </c>
      <c r="J54" s="28"/>
      <c r="K54" s="21"/>
      <c r="L54" s="21"/>
      <c r="M54" s="21"/>
      <c r="N54" s="21"/>
      <c r="O54" s="21"/>
      <c r="P54" s="21"/>
      <c r="R54" s="28"/>
      <c r="S54" s="21"/>
      <c r="T54" s="21"/>
      <c r="U54" s="21"/>
      <c r="V54" s="21"/>
      <c r="W54" s="21"/>
      <c r="X54" s="21"/>
    </row>
    <row r="55" spans="1:26" ht="17.25" hidden="1" x14ac:dyDescent="0.35">
      <c r="A55" s="58"/>
      <c r="B55" s="17"/>
      <c r="C55" s="25" t="s">
        <v>42</v>
      </c>
      <c r="D55" s="26"/>
      <c r="E55" s="26"/>
      <c r="F55" s="26"/>
      <c r="G55" s="26"/>
      <c r="H55" s="27"/>
      <c r="J55" s="28"/>
      <c r="K55" s="21"/>
      <c r="L55" s="21"/>
      <c r="M55" s="21"/>
      <c r="N55" s="21"/>
      <c r="O55" s="21"/>
      <c r="P55" s="21"/>
      <c r="R55" s="28"/>
      <c r="S55" s="21"/>
      <c r="T55" s="21"/>
      <c r="U55" s="21"/>
      <c r="V55" s="21"/>
      <c r="W55" s="21"/>
      <c r="X55" s="21"/>
    </row>
    <row r="56" spans="1:26" ht="17.25" hidden="1" x14ac:dyDescent="0.35">
      <c r="C56" s="21"/>
      <c r="D56" s="21"/>
      <c r="E56" s="21"/>
      <c r="F56" s="21"/>
      <c r="G56" s="21"/>
      <c r="H56" s="21"/>
      <c r="K56" s="21"/>
      <c r="L56" s="21"/>
      <c r="M56" s="21"/>
      <c r="N56" s="21"/>
      <c r="O56" s="21"/>
      <c r="P56" s="21"/>
      <c r="S56" s="21"/>
      <c r="T56" s="21"/>
      <c r="U56" s="21"/>
      <c r="V56" s="21"/>
      <c r="W56" s="21"/>
      <c r="X56" s="21"/>
    </row>
    <row r="57" spans="1:26" s="16" customFormat="1" ht="17.25" hidden="1" thickBot="1" x14ac:dyDescent="0.35">
      <c r="A57" s="16" t="s">
        <v>43</v>
      </c>
      <c r="C57" s="15" t="s">
        <v>0</v>
      </c>
      <c r="D57" s="15" t="s">
        <v>8</v>
      </c>
      <c r="E57" s="15" t="s">
        <v>9</v>
      </c>
      <c r="F57" s="15" t="s">
        <v>10</v>
      </c>
      <c r="G57" s="15" t="s">
        <v>11</v>
      </c>
      <c r="H57" s="15" t="s">
        <v>12</v>
      </c>
      <c r="J57" s="16" t="s">
        <v>52</v>
      </c>
      <c r="K57" s="15" t="s">
        <v>0</v>
      </c>
      <c r="L57" s="15" t="s">
        <v>8</v>
      </c>
      <c r="M57" s="15" t="s">
        <v>9</v>
      </c>
      <c r="N57" s="15" t="s">
        <v>10</v>
      </c>
      <c r="O57" s="15" t="s">
        <v>11</v>
      </c>
      <c r="P57" s="15" t="s">
        <v>12</v>
      </c>
      <c r="R57" s="16" t="s">
        <v>53</v>
      </c>
      <c r="S57" s="15" t="s">
        <v>0</v>
      </c>
      <c r="T57" s="15" t="s">
        <v>8</v>
      </c>
      <c r="U57" s="15" t="s">
        <v>9</v>
      </c>
      <c r="V57" s="15" t="s">
        <v>10</v>
      </c>
      <c r="W57" s="15" t="s">
        <v>11</v>
      </c>
      <c r="X57" s="15" t="s">
        <v>12</v>
      </c>
    </row>
    <row r="58" spans="1:26" ht="15" hidden="1" customHeight="1" thickTop="1" x14ac:dyDescent="0.35">
      <c r="A58" s="58" t="s">
        <v>16</v>
      </c>
      <c r="B58" s="17"/>
      <c r="C58" s="18" t="s">
        <v>17</v>
      </c>
      <c r="D58" s="19" t="s">
        <v>17</v>
      </c>
      <c r="E58" s="19" t="s">
        <v>17</v>
      </c>
      <c r="F58" s="19" t="s">
        <v>17</v>
      </c>
      <c r="G58" s="19" t="s">
        <v>17</v>
      </c>
      <c r="H58" s="20" t="s">
        <v>17</v>
      </c>
      <c r="J58" s="58" t="s">
        <v>16</v>
      </c>
      <c r="K58" s="18" t="s">
        <v>22</v>
      </c>
      <c r="L58" s="19" t="s">
        <v>23</v>
      </c>
      <c r="M58" s="19" t="s">
        <v>20</v>
      </c>
      <c r="N58" s="19" t="s">
        <v>20</v>
      </c>
      <c r="O58" s="19" t="s">
        <v>20</v>
      </c>
      <c r="P58" s="20" t="s">
        <v>20</v>
      </c>
      <c r="R58" s="58" t="s">
        <v>16</v>
      </c>
      <c r="S58" s="18" t="s">
        <v>23</v>
      </c>
      <c r="T58" s="19" t="s">
        <v>20</v>
      </c>
      <c r="U58" s="19" t="s">
        <v>20</v>
      </c>
      <c r="V58" s="19" t="s">
        <v>24</v>
      </c>
      <c r="W58" s="19" t="s">
        <v>25</v>
      </c>
      <c r="X58" s="20" t="s">
        <v>20</v>
      </c>
      <c r="Z58" s="28"/>
    </row>
    <row r="59" spans="1:26" ht="17.25" hidden="1" x14ac:dyDescent="0.35">
      <c r="A59" s="58"/>
      <c r="B59" s="17"/>
      <c r="C59" s="22" t="s">
        <v>23</v>
      </c>
      <c r="D59" s="23" t="s">
        <v>20</v>
      </c>
      <c r="E59" s="23" t="s">
        <v>21</v>
      </c>
      <c r="F59" s="23" t="s">
        <v>20</v>
      </c>
      <c r="G59" s="23" t="s">
        <v>20</v>
      </c>
      <c r="H59" s="24" t="s">
        <v>20</v>
      </c>
      <c r="J59" s="58"/>
      <c r="K59" s="22" t="s">
        <v>23</v>
      </c>
      <c r="L59" s="23" t="s">
        <v>24</v>
      </c>
      <c r="M59" s="23" t="s">
        <v>22</v>
      </c>
      <c r="N59" s="23" t="s">
        <v>24</v>
      </c>
      <c r="O59" s="23" t="s">
        <v>22</v>
      </c>
      <c r="P59" s="24" t="s">
        <v>24</v>
      </c>
      <c r="R59" s="58"/>
      <c r="S59" s="22" t="s">
        <v>25</v>
      </c>
      <c r="T59" s="23" t="s">
        <v>23</v>
      </c>
      <c r="U59" s="23" t="s">
        <v>24</v>
      </c>
      <c r="V59" s="23" t="s">
        <v>26</v>
      </c>
      <c r="W59" s="23" t="s">
        <v>26</v>
      </c>
      <c r="X59" s="24" t="s">
        <v>24</v>
      </c>
      <c r="Z59" s="28"/>
    </row>
    <row r="60" spans="1:26" ht="17.25" hidden="1" x14ac:dyDescent="0.35">
      <c r="A60" s="58"/>
      <c r="B60" s="17"/>
      <c r="C60" s="22" t="s">
        <v>24</v>
      </c>
      <c r="D60" s="23" t="s">
        <v>23</v>
      </c>
      <c r="E60" s="23" t="s">
        <v>24</v>
      </c>
      <c r="F60" s="23" t="s">
        <v>24</v>
      </c>
      <c r="G60" s="23" t="s">
        <v>23</v>
      </c>
      <c r="H60" s="24" t="s">
        <v>21</v>
      </c>
      <c r="J60" s="58"/>
      <c r="K60" s="22" t="s">
        <v>25</v>
      </c>
      <c r="L60" s="23" t="s">
        <v>25</v>
      </c>
      <c r="M60" s="23" t="s">
        <v>24</v>
      </c>
      <c r="N60" s="23" t="s">
        <v>26</v>
      </c>
      <c r="O60" s="23" t="s">
        <v>25</v>
      </c>
      <c r="P60" s="24" t="s">
        <v>25</v>
      </c>
      <c r="R60" s="58"/>
      <c r="S60" s="22" t="s">
        <v>26</v>
      </c>
      <c r="T60" s="23" t="s">
        <v>24</v>
      </c>
      <c r="U60" s="23" t="s">
        <v>25</v>
      </c>
      <c r="V60" s="23" t="s">
        <v>34</v>
      </c>
      <c r="W60" s="23" t="s">
        <v>30</v>
      </c>
      <c r="X60" s="24" t="s">
        <v>25</v>
      </c>
      <c r="Z60" s="28"/>
    </row>
    <row r="61" spans="1:26" ht="17.25" hidden="1" x14ac:dyDescent="0.35">
      <c r="A61" s="58"/>
      <c r="B61" s="17"/>
      <c r="C61" s="22" t="s">
        <v>25</v>
      </c>
      <c r="D61" s="23" t="s">
        <v>25</v>
      </c>
      <c r="E61" s="23" t="s">
        <v>25</v>
      </c>
      <c r="F61" s="23" t="s">
        <v>25</v>
      </c>
      <c r="G61" s="23" t="s">
        <v>25</v>
      </c>
      <c r="H61" s="24" t="s">
        <v>24</v>
      </c>
      <c r="J61" s="58"/>
      <c r="K61" s="22" t="s">
        <v>26</v>
      </c>
      <c r="L61" s="23" t="s">
        <v>26</v>
      </c>
      <c r="M61" s="23" t="s">
        <v>25</v>
      </c>
      <c r="N61" s="23" t="s">
        <v>34</v>
      </c>
      <c r="O61" s="23" t="s">
        <v>26</v>
      </c>
      <c r="P61" s="24" t="s">
        <v>26</v>
      </c>
      <c r="R61" s="58"/>
      <c r="S61" s="22" t="s">
        <v>32</v>
      </c>
      <c r="T61" s="23" t="s">
        <v>25</v>
      </c>
      <c r="U61" s="23" t="s">
        <v>26</v>
      </c>
      <c r="V61" s="23" t="s">
        <v>37</v>
      </c>
      <c r="W61" s="23" t="s">
        <v>38</v>
      </c>
      <c r="X61" s="24" t="s">
        <v>26</v>
      </c>
      <c r="Z61" s="28"/>
    </row>
    <row r="62" spans="1:26" ht="17.25" hidden="1" x14ac:dyDescent="0.35">
      <c r="A62" s="58"/>
      <c r="B62" s="17"/>
      <c r="C62" s="22" t="s">
        <v>26</v>
      </c>
      <c r="D62" s="23" t="s">
        <v>26</v>
      </c>
      <c r="E62" s="23" t="s">
        <v>26</v>
      </c>
      <c r="F62" s="23" t="s">
        <v>26</v>
      </c>
      <c r="G62" s="23" t="s">
        <v>26</v>
      </c>
      <c r="H62" s="24" t="s">
        <v>25</v>
      </c>
      <c r="J62" s="58"/>
      <c r="K62" s="22" t="s">
        <v>32</v>
      </c>
      <c r="L62" s="23" t="s">
        <v>32</v>
      </c>
      <c r="M62" s="23" t="s">
        <v>26</v>
      </c>
      <c r="N62" s="23" t="s">
        <v>37</v>
      </c>
      <c r="O62" s="23" t="s">
        <v>38</v>
      </c>
      <c r="P62" s="24" t="s">
        <v>32</v>
      </c>
      <c r="R62" s="58"/>
      <c r="S62" s="22" t="s">
        <v>38</v>
      </c>
      <c r="T62" s="23" t="s">
        <v>26</v>
      </c>
      <c r="U62" s="23" t="s">
        <v>32</v>
      </c>
      <c r="V62" s="23" t="s">
        <v>36</v>
      </c>
      <c r="W62" s="23" t="s">
        <v>37</v>
      </c>
      <c r="X62" s="24" t="s">
        <v>28</v>
      </c>
      <c r="Z62" s="28"/>
    </row>
    <row r="63" spans="1:26" ht="17.25" hidden="1" x14ac:dyDescent="0.35">
      <c r="A63" s="58"/>
      <c r="B63" s="17"/>
      <c r="C63" s="22" t="s">
        <v>32</v>
      </c>
      <c r="D63" s="23" t="s">
        <v>32</v>
      </c>
      <c r="E63" s="23" t="s">
        <v>28</v>
      </c>
      <c r="F63" s="23" t="s">
        <v>34</v>
      </c>
      <c r="G63" s="23" t="s">
        <v>28</v>
      </c>
      <c r="H63" s="24" t="s">
        <v>26</v>
      </c>
      <c r="J63" s="58"/>
      <c r="K63" s="22" t="s">
        <v>38</v>
      </c>
      <c r="L63" s="23" t="s">
        <v>33</v>
      </c>
      <c r="M63" s="23" t="s">
        <v>38</v>
      </c>
      <c r="N63" s="23" t="s">
        <v>36</v>
      </c>
      <c r="O63" s="23" t="s">
        <v>37</v>
      </c>
      <c r="P63" s="24" t="s">
        <v>37</v>
      </c>
      <c r="R63" s="58"/>
      <c r="S63" s="22" t="s">
        <v>33</v>
      </c>
      <c r="T63" s="23" t="s">
        <v>32</v>
      </c>
      <c r="U63" s="23" t="s">
        <v>38</v>
      </c>
      <c r="V63" s="23" t="s">
        <v>39</v>
      </c>
      <c r="W63" s="23" t="s">
        <v>36</v>
      </c>
      <c r="X63" s="24" t="s">
        <v>32</v>
      </c>
      <c r="Z63" s="28"/>
    </row>
    <row r="64" spans="1:26" ht="17.25" hidden="1" x14ac:dyDescent="0.35">
      <c r="A64" s="58"/>
      <c r="B64" s="17"/>
      <c r="C64" s="22" t="s">
        <v>30</v>
      </c>
      <c r="D64" s="23" t="s">
        <v>30</v>
      </c>
      <c r="E64" s="23" t="s">
        <v>38</v>
      </c>
      <c r="F64" s="23" t="s">
        <v>32</v>
      </c>
      <c r="G64" s="23" t="s">
        <v>38</v>
      </c>
      <c r="H64" s="24" t="s">
        <v>32</v>
      </c>
      <c r="J64" s="58"/>
      <c r="K64" s="22" t="s">
        <v>33</v>
      </c>
      <c r="L64" s="23" t="s">
        <v>36</v>
      </c>
      <c r="M64" s="23" t="s">
        <v>33</v>
      </c>
      <c r="N64" s="23" t="s">
        <v>42</v>
      </c>
      <c r="O64" s="23" t="s">
        <v>36</v>
      </c>
      <c r="P64" s="24" t="s">
        <v>36</v>
      </c>
      <c r="R64" s="58"/>
      <c r="S64" s="22" t="s">
        <v>36</v>
      </c>
      <c r="T64" s="23" t="s">
        <v>33</v>
      </c>
      <c r="U64" s="23" t="s">
        <v>33</v>
      </c>
      <c r="V64" s="23"/>
      <c r="W64" s="23" t="s">
        <v>39</v>
      </c>
      <c r="X64" s="24" t="s">
        <v>30</v>
      </c>
      <c r="Z64" s="28"/>
    </row>
    <row r="65" spans="1:26" ht="17.25" hidden="1" x14ac:dyDescent="0.35">
      <c r="A65" s="58"/>
      <c r="B65" s="17"/>
      <c r="C65" s="22" t="s">
        <v>38</v>
      </c>
      <c r="D65" s="23" t="s">
        <v>33</v>
      </c>
      <c r="E65" s="23" t="s">
        <v>33</v>
      </c>
      <c r="F65" s="23" t="s">
        <v>30</v>
      </c>
      <c r="G65" s="23" t="s">
        <v>33</v>
      </c>
      <c r="H65" s="24" t="s">
        <v>30</v>
      </c>
      <c r="J65" s="58"/>
      <c r="K65" s="22" t="s">
        <v>36</v>
      </c>
      <c r="L65" s="23" t="s">
        <v>39</v>
      </c>
      <c r="M65" s="23" t="s">
        <v>37</v>
      </c>
      <c r="N65" s="23"/>
      <c r="O65" s="23"/>
      <c r="P65" s="24"/>
      <c r="R65" s="58"/>
      <c r="S65" s="22"/>
      <c r="T65" s="23" t="s">
        <v>36</v>
      </c>
      <c r="U65" s="23" t="s">
        <v>37</v>
      </c>
      <c r="V65" s="23"/>
      <c r="W65" s="23"/>
      <c r="X65" s="24" t="s">
        <v>38</v>
      </c>
      <c r="Z65" s="28"/>
    </row>
    <row r="66" spans="1:26" ht="17.25" hidden="1" x14ac:dyDescent="0.35">
      <c r="A66" s="58"/>
      <c r="B66" s="17"/>
      <c r="C66" s="22" t="s">
        <v>33</v>
      </c>
      <c r="D66" s="23" t="s">
        <v>37</v>
      </c>
      <c r="E66" s="23" t="s">
        <v>37</v>
      </c>
      <c r="F66" s="23" t="s">
        <v>29</v>
      </c>
      <c r="G66" s="23" t="s">
        <v>37</v>
      </c>
      <c r="H66" s="24" t="s">
        <v>29</v>
      </c>
      <c r="J66" s="58"/>
      <c r="K66" s="22"/>
      <c r="L66" s="23"/>
      <c r="M66" s="23" t="s">
        <v>36</v>
      </c>
      <c r="N66" s="23"/>
      <c r="O66" s="23"/>
      <c r="P66" s="24"/>
      <c r="R66" s="58"/>
      <c r="S66" s="22"/>
      <c r="T66" s="23" t="s">
        <v>39</v>
      </c>
      <c r="U66" s="23" t="s">
        <v>36</v>
      </c>
      <c r="V66" s="23"/>
      <c r="W66" s="23"/>
      <c r="X66" s="24" t="s">
        <v>37</v>
      </c>
      <c r="Z66" s="28"/>
    </row>
    <row r="67" spans="1:26" ht="17.25" hidden="1" x14ac:dyDescent="0.35">
      <c r="A67" s="58"/>
      <c r="B67" s="17"/>
      <c r="C67" s="22" t="s">
        <v>36</v>
      </c>
      <c r="D67" s="23" t="s">
        <v>36</v>
      </c>
      <c r="E67" s="23" t="s">
        <v>36</v>
      </c>
      <c r="F67" s="23" t="s">
        <v>38</v>
      </c>
      <c r="G67" s="23" t="s">
        <v>36</v>
      </c>
      <c r="H67" s="24" t="s">
        <v>33</v>
      </c>
      <c r="J67" s="58"/>
      <c r="K67" s="25"/>
      <c r="L67" s="26"/>
      <c r="M67" s="26" t="s">
        <v>42</v>
      </c>
      <c r="N67" s="26"/>
      <c r="O67" s="26"/>
      <c r="P67" s="27"/>
      <c r="R67" s="58"/>
      <c r="S67" s="25"/>
      <c r="T67" s="26"/>
      <c r="U67" s="26" t="s">
        <v>39</v>
      </c>
      <c r="V67" s="26"/>
      <c r="W67" s="26"/>
      <c r="X67" s="27" t="s">
        <v>36</v>
      </c>
      <c r="Z67" s="28"/>
    </row>
    <row r="68" spans="1:26" ht="17.25" hidden="1" x14ac:dyDescent="0.35">
      <c r="A68" s="58"/>
      <c r="B68" s="17"/>
      <c r="C68" s="22" t="s">
        <v>39</v>
      </c>
      <c r="D68" s="23" t="s">
        <v>39</v>
      </c>
      <c r="E68" s="23" t="s">
        <v>39</v>
      </c>
      <c r="F68" s="23" t="s">
        <v>33</v>
      </c>
      <c r="G68" s="23" t="s">
        <v>39</v>
      </c>
      <c r="H68" s="24" t="s">
        <v>36</v>
      </c>
      <c r="J68" s="28"/>
      <c r="K68" s="21"/>
      <c r="L68" s="21"/>
      <c r="M68" s="21"/>
      <c r="N68" s="21"/>
      <c r="O68" s="21"/>
      <c r="P68" s="21"/>
      <c r="R68" s="28"/>
      <c r="S68" s="21"/>
      <c r="T68" s="21"/>
      <c r="U68" s="21"/>
      <c r="V68" s="21"/>
      <c r="W68" s="21"/>
      <c r="X68" s="21"/>
      <c r="Z68" s="28"/>
    </row>
    <row r="69" spans="1:26" ht="17.25" hidden="1" x14ac:dyDescent="0.35">
      <c r="A69" s="58"/>
      <c r="B69" s="17"/>
      <c r="C69" s="22"/>
      <c r="D69" s="23"/>
      <c r="E69" s="23" t="s">
        <v>42</v>
      </c>
      <c r="F69" s="23" t="s">
        <v>37</v>
      </c>
      <c r="G69" s="23" t="s">
        <v>42</v>
      </c>
      <c r="H69" s="24" t="s">
        <v>39</v>
      </c>
      <c r="J69" s="28"/>
      <c r="K69" s="21"/>
      <c r="L69" s="21"/>
      <c r="M69" s="21"/>
      <c r="N69" s="21"/>
      <c r="O69" s="21"/>
      <c r="P69" s="21"/>
      <c r="R69" s="28"/>
      <c r="S69" s="21"/>
      <c r="T69" s="21"/>
      <c r="U69" s="21"/>
      <c r="V69" s="21"/>
      <c r="W69" s="21"/>
      <c r="X69" s="21"/>
    </row>
    <row r="70" spans="1:26" ht="17.25" hidden="1" x14ac:dyDescent="0.35">
      <c r="A70" s="58"/>
      <c r="B70" s="17"/>
      <c r="C70" s="22"/>
      <c r="D70" s="23"/>
      <c r="E70" s="23"/>
      <c r="F70" s="23" t="s">
        <v>36</v>
      </c>
      <c r="G70" s="23"/>
      <c r="H70" s="24" t="s">
        <v>42</v>
      </c>
      <c r="J70" s="28"/>
      <c r="K70" s="21"/>
      <c r="L70" s="21"/>
      <c r="M70" s="21"/>
      <c r="N70" s="21"/>
      <c r="O70" s="21"/>
      <c r="P70" s="21"/>
      <c r="R70" s="28"/>
      <c r="S70" s="21"/>
      <c r="T70" s="21"/>
      <c r="U70" s="21"/>
      <c r="V70" s="21"/>
      <c r="W70" s="21"/>
      <c r="X70" s="21"/>
    </row>
    <row r="71" spans="1:26" ht="17.25" hidden="1" x14ac:dyDescent="0.35">
      <c r="A71" s="58"/>
      <c r="B71" s="17"/>
      <c r="C71" s="25"/>
      <c r="D71" s="26"/>
      <c r="E71" s="26"/>
      <c r="F71" s="26" t="s">
        <v>39</v>
      </c>
      <c r="G71" s="26"/>
      <c r="H71" s="27"/>
      <c r="J71" s="28"/>
      <c r="K71" s="21"/>
      <c r="L71" s="21"/>
      <c r="M71" s="21"/>
      <c r="N71" s="21"/>
      <c r="O71" s="21"/>
      <c r="P71" s="21"/>
      <c r="R71" s="28"/>
      <c r="S71" s="21"/>
      <c r="T71" s="21"/>
      <c r="U71" s="21"/>
      <c r="V71" s="21"/>
      <c r="W71" s="21"/>
      <c r="X71" s="21"/>
    </row>
    <row r="72" spans="1:26" ht="17.25" x14ac:dyDescent="0.35">
      <c r="A72" s="17"/>
      <c r="B72" s="17"/>
      <c r="C72" s="21"/>
      <c r="D72" s="21"/>
      <c r="E72" s="21"/>
      <c r="F72" s="21"/>
      <c r="G72" s="21"/>
      <c r="H72" s="21"/>
      <c r="J72" s="28"/>
      <c r="K72" s="21"/>
      <c r="L72" s="21"/>
      <c r="M72" s="21"/>
      <c r="N72" s="21"/>
      <c r="O72" s="21"/>
      <c r="P72" s="21"/>
      <c r="R72" s="28"/>
      <c r="S72" s="21"/>
      <c r="T72" s="21"/>
      <c r="U72" s="21"/>
      <c r="V72" s="21"/>
      <c r="W72" s="21"/>
      <c r="X72" s="21"/>
    </row>
    <row r="73" spans="1:26" ht="19.5" x14ac:dyDescent="0.35">
      <c r="B73" s="34"/>
      <c r="C73" s="21" t="s">
        <v>55</v>
      </c>
      <c r="D73" s="21"/>
      <c r="E73" s="21"/>
      <c r="F73" s="21"/>
      <c r="G73" s="21"/>
      <c r="H73" s="21"/>
      <c r="K73" s="21"/>
      <c r="L73" s="21"/>
      <c r="M73" s="21"/>
      <c r="N73" s="21"/>
      <c r="O73" s="21"/>
      <c r="P73" s="21"/>
      <c r="S73" s="21"/>
      <c r="T73" s="21"/>
      <c r="U73" s="21"/>
      <c r="V73" s="21"/>
      <c r="W73" s="21"/>
      <c r="X73" s="21"/>
    </row>
    <row r="74" spans="1:26" ht="17.25" x14ac:dyDescent="0.35">
      <c r="C74" s="21"/>
      <c r="D74" s="21"/>
      <c r="E74" s="21"/>
      <c r="F74" s="21"/>
      <c r="G74" s="21"/>
      <c r="H74" s="21"/>
      <c r="K74" s="21"/>
      <c r="L74" s="21"/>
      <c r="M74" s="21"/>
      <c r="N74" s="21"/>
      <c r="O74" s="21"/>
      <c r="P74" s="21"/>
      <c r="S74" s="21"/>
      <c r="T74" s="21"/>
      <c r="U74" s="21"/>
      <c r="V74" s="21"/>
      <c r="W74" s="21"/>
      <c r="X74" s="21"/>
    </row>
  </sheetData>
  <mergeCells count="23">
    <mergeCell ref="A58:A71"/>
    <mergeCell ref="J58:J67"/>
    <mergeCell ref="R58:R67"/>
    <mergeCell ref="A22:A37"/>
    <mergeCell ref="J22:J34"/>
    <mergeCell ref="R22:R33"/>
    <mergeCell ref="A40:A55"/>
    <mergeCell ref="J40:J50"/>
    <mergeCell ref="R40:R52"/>
    <mergeCell ref="Z22:Z28"/>
    <mergeCell ref="Z5:Z18"/>
    <mergeCell ref="J5:J20"/>
    <mergeCell ref="R5:R17"/>
    <mergeCell ref="B6:B8"/>
    <mergeCell ref="B18:B20"/>
    <mergeCell ref="B14:B16"/>
    <mergeCell ref="K2:P2"/>
    <mergeCell ref="A5:A20"/>
    <mergeCell ref="S2:X2"/>
    <mergeCell ref="AA2:AF2"/>
    <mergeCell ref="B10:B12"/>
    <mergeCell ref="A2:B4"/>
    <mergeCell ref="C2:H2"/>
  </mergeCells>
  <pageMargins left="0.39370078740157483" right="0.39370078740157483" top="0.47244094488188981" bottom="0.39370078740157483" header="0.31496062992125984" footer="0.31496062992125984"/>
  <pageSetup scale="14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249977111117893"/>
    <pageSetUpPr autoPageBreaks="0" fitToPage="1"/>
  </sheetPr>
  <dimension ref="A1:H168"/>
  <sheetViews>
    <sheetView showGridLines="0" zoomScaleNormal="100" workbookViewId="0">
      <selection activeCell="B6" sqref="B6"/>
    </sheetView>
  </sheetViews>
  <sheetFormatPr baseColWidth="10" defaultColWidth="8.75" defaultRowHeight="16.5" x14ac:dyDescent="0.3"/>
  <cols>
    <col min="1" max="1" width="2" customWidth="1"/>
    <col min="2" max="2" width="18.25" customWidth="1"/>
    <col min="3" max="8" width="17.625" customWidth="1"/>
    <col min="9" max="9" width="2.5" customWidth="1"/>
    <col min="14" max="14" width="6.75" customWidth="1"/>
  </cols>
  <sheetData>
    <row r="1" spans="1:8" ht="54" customHeight="1" x14ac:dyDescent="0.7">
      <c r="A1" s="2"/>
      <c r="B1" s="1">
        <v>2019</v>
      </c>
      <c r="C1" s="6" t="s">
        <v>54</v>
      </c>
      <c r="D1" s="2"/>
      <c r="E1" s="2"/>
      <c r="F1" s="2"/>
      <c r="G1" s="2"/>
      <c r="H1" s="2"/>
    </row>
    <row r="2" spans="1:8" ht="14.25" customHeight="1" x14ac:dyDescent="0.3">
      <c r="A2" s="3"/>
      <c r="B2" s="7" t="s">
        <v>0</v>
      </c>
      <c r="C2" s="8" t="str">
        <f>UPPER(TEXT(C3,"dddd"))</f>
        <v>MARTES</v>
      </c>
      <c r="D2" s="7" t="str">
        <f>UPPER(TEXT(D3,"dddd"))</f>
        <v>MIÉRCOLES</v>
      </c>
      <c r="E2" s="8" t="str">
        <f t="shared" ref="E2:H2" si="0">UPPER(TEXT(E3,"dddd"))</f>
        <v>JUEVES</v>
      </c>
      <c r="F2" s="7" t="str">
        <f t="shared" si="0"/>
        <v>VIERNES</v>
      </c>
      <c r="G2" s="8" t="str">
        <f t="shared" si="0"/>
        <v>SÁBADO</v>
      </c>
      <c r="H2" s="7" t="str">
        <f t="shared" si="0"/>
        <v>DOMINGO</v>
      </c>
    </row>
    <row r="3" spans="1:8" ht="16.5" customHeight="1" x14ac:dyDescent="0.3">
      <c r="B3" s="4">
        <f t="array" ref="B3:H3">Días+1+DATE(Calendario1Año,Calendario1MesOpción,1)-WEEKDAY(DATE(Calendario1Año,Calendario1MesOpción,1),DíaDeLaSemanaOpción)</f>
        <v>43465</v>
      </c>
      <c r="C3" s="4">
        <v>43466</v>
      </c>
      <c r="D3" s="4">
        <v>43467</v>
      </c>
      <c r="E3" s="4">
        <v>43468</v>
      </c>
      <c r="F3" s="4">
        <v>43469</v>
      </c>
      <c r="G3" s="4">
        <v>43470</v>
      </c>
      <c r="H3" s="5">
        <v>43471</v>
      </c>
    </row>
    <row r="4" spans="1:8" ht="56.25" customHeight="1" x14ac:dyDescent="0.3">
      <c r="B4" s="10"/>
      <c r="C4" s="10"/>
      <c r="D4" s="13" t="s">
        <v>3</v>
      </c>
      <c r="E4" s="10"/>
      <c r="F4" s="13" t="s">
        <v>3</v>
      </c>
      <c r="G4" s="10"/>
      <c r="H4" s="11"/>
    </row>
    <row r="5" spans="1:8" ht="16.5" customHeight="1" x14ac:dyDescent="0.3">
      <c r="B5" s="4">
        <f t="array" ref="B5:H5">Días+8+DATE(Calendario1Año,Calendario1MesOpción,1)-WEEKDAY(DATE(Calendario1Año,Calendario1MesOpción,1),DíaDeLaSemanaOpción)</f>
        <v>43472</v>
      </c>
      <c r="C5" s="4">
        <v>43473</v>
      </c>
      <c r="D5" s="4">
        <v>43474</v>
      </c>
      <c r="E5" s="4">
        <v>43475</v>
      </c>
      <c r="F5" s="4">
        <v>43476</v>
      </c>
      <c r="G5" s="4">
        <v>43477</v>
      </c>
      <c r="H5" s="5">
        <v>43478</v>
      </c>
    </row>
    <row r="6" spans="1:8" ht="56.25" customHeight="1" x14ac:dyDescent="0.3">
      <c r="B6" s="13" t="s">
        <v>3</v>
      </c>
      <c r="C6" s="10"/>
      <c r="D6" s="13" t="s">
        <v>3</v>
      </c>
      <c r="E6" s="10"/>
      <c r="F6" s="13" t="s">
        <v>3</v>
      </c>
      <c r="G6" s="10"/>
      <c r="H6" s="10"/>
    </row>
    <row r="7" spans="1:8" ht="16.5" customHeight="1" x14ac:dyDescent="0.3">
      <c r="B7" s="4">
        <f t="array" ref="B7:H7">Días+15+DATE(Calendario1Año,Calendario1MesOpción,1)-WEEKDAY(DATE(Calendario1Año,Calendario1MesOpción,1),DíaDeLaSemanaOpción)</f>
        <v>43479</v>
      </c>
      <c r="C7" s="4">
        <v>43480</v>
      </c>
      <c r="D7" s="4">
        <v>43481</v>
      </c>
      <c r="E7" s="4">
        <v>43482</v>
      </c>
      <c r="F7" s="4">
        <v>43483</v>
      </c>
      <c r="G7" s="4">
        <v>43484</v>
      </c>
      <c r="H7" s="5">
        <v>43485</v>
      </c>
    </row>
    <row r="8" spans="1:8" ht="56.25" customHeight="1" x14ac:dyDescent="0.3">
      <c r="B8" s="13" t="s">
        <v>3</v>
      </c>
      <c r="C8" s="10"/>
      <c r="D8" s="13" t="s">
        <v>3</v>
      </c>
      <c r="E8" s="10"/>
      <c r="F8" s="13" t="s">
        <v>3</v>
      </c>
      <c r="G8" s="10"/>
      <c r="H8" s="11"/>
    </row>
    <row r="9" spans="1:8" ht="16.5" customHeight="1" x14ac:dyDescent="0.3">
      <c r="B9" s="4">
        <f t="array" ref="B9:H9">Días+22+DATE(Calendario1Año,Calendario1MesOpción,1)-WEEKDAY(DATE(Calendario1Año,Calendario1MesOpción,1),DíaDeLaSemanaOpción)</f>
        <v>43486</v>
      </c>
      <c r="C9" s="4">
        <v>43487</v>
      </c>
      <c r="D9" s="4">
        <v>43488</v>
      </c>
      <c r="E9" s="4">
        <v>43489</v>
      </c>
      <c r="F9" s="4">
        <v>43490</v>
      </c>
      <c r="G9" s="4">
        <v>43491</v>
      </c>
      <c r="H9" s="5">
        <v>43492</v>
      </c>
    </row>
    <row r="10" spans="1:8" ht="56.25" customHeight="1" x14ac:dyDescent="0.3">
      <c r="B10" s="13" t="s">
        <v>3</v>
      </c>
      <c r="C10" s="10"/>
      <c r="D10" s="13" t="s">
        <v>3</v>
      </c>
      <c r="E10" s="10"/>
      <c r="F10" s="13" t="s">
        <v>3</v>
      </c>
      <c r="G10" s="10"/>
      <c r="H10" s="11"/>
    </row>
    <row r="11" spans="1:8" ht="16.5" customHeight="1" x14ac:dyDescent="0.3">
      <c r="B11" s="4">
        <f t="array" ref="B11:H11">Días+29+DATE(Calendario1Año,Calendario1MesOpción,1)-WEEKDAY(DATE(Calendario1Año,Calendario1MesOpción,1),DíaDeLaSemanaOpción)</f>
        <v>43493</v>
      </c>
      <c r="C11" s="4">
        <v>43494</v>
      </c>
      <c r="D11" s="4">
        <v>43495</v>
      </c>
      <c r="E11" s="4">
        <v>43496</v>
      </c>
      <c r="F11" s="4">
        <v>43497</v>
      </c>
      <c r="G11" s="4">
        <v>43498</v>
      </c>
      <c r="H11" s="5">
        <v>43499</v>
      </c>
    </row>
    <row r="12" spans="1:8" ht="57" customHeight="1" x14ac:dyDescent="0.3">
      <c r="B12" s="13" t="s">
        <v>3</v>
      </c>
      <c r="C12" s="10"/>
      <c r="D12" s="13" t="s">
        <v>3</v>
      </c>
      <c r="E12" s="10"/>
      <c r="F12" s="13" t="s">
        <v>3</v>
      </c>
      <c r="G12" s="10"/>
      <c r="H12" s="11"/>
    </row>
    <row r="13" spans="1:8" ht="16.5" customHeight="1" x14ac:dyDescent="0.3">
      <c r="B13" s="4">
        <f t="array" ref="B13:C13">Días+36+DATE(Calendario1Año,Calendario1MesOpción,1)-WEEKDAY(DATE(Calendario1Año,Calendario1MesOpción,1),DíaDeLaSemanaOpción)</f>
        <v>43500</v>
      </c>
      <c r="C13" s="4">
        <v>43501</v>
      </c>
      <c r="D13" s="66" t="s">
        <v>1</v>
      </c>
      <c r="E13" s="67"/>
      <c r="F13" s="67"/>
      <c r="G13" s="67"/>
      <c r="H13" s="67"/>
    </row>
    <row r="14" spans="1:8" ht="63.75" customHeight="1" x14ac:dyDescent="0.3">
      <c r="B14" s="10"/>
      <c r="C14" s="10"/>
      <c r="D14" s="65"/>
      <c r="E14" s="64"/>
      <c r="F14" s="64"/>
      <c r="G14" s="64"/>
      <c r="H14" s="64"/>
    </row>
    <row r="15" spans="1:8" ht="54" customHeight="1" x14ac:dyDescent="0.7">
      <c r="A15" s="2"/>
      <c r="B15" s="1">
        <f>YEAR(DATE(Calendario1Año,Calendario1MesOpción+1,1))</f>
        <v>2019</v>
      </c>
      <c r="C15" s="6" t="str">
        <f>TEXT(DATE(Calendario1Año,Calendario1MesOpción+1,1),"mmmm")</f>
        <v>febrero</v>
      </c>
      <c r="D15" s="9"/>
      <c r="E15" s="9"/>
      <c r="F15" s="9"/>
      <c r="G15" s="9"/>
      <c r="H15" s="2"/>
    </row>
    <row r="16" spans="1:8" ht="14.25" customHeight="1" x14ac:dyDescent="0.3">
      <c r="A16" s="3"/>
      <c r="B16" s="7" t="str">
        <f>UPPER(TEXT(B17,"dddd"))</f>
        <v>LUNES</v>
      </c>
      <c r="C16" s="8" t="str">
        <f t="shared" ref="C16:H16" si="1">UPPER(TEXT(C17,"dddd"))</f>
        <v>MARTES</v>
      </c>
      <c r="D16" s="7" t="str">
        <f t="shared" si="1"/>
        <v>MIÉRCOLES</v>
      </c>
      <c r="E16" s="8" t="str">
        <f t="shared" si="1"/>
        <v>JUEVES</v>
      </c>
      <c r="F16" s="7" t="str">
        <f t="shared" si="1"/>
        <v>VIERNES</v>
      </c>
      <c r="G16" s="8" t="str">
        <f t="shared" si="1"/>
        <v>SÁBADO</v>
      </c>
      <c r="H16" s="7" t="str">
        <f t="shared" si="1"/>
        <v>DOMINGO</v>
      </c>
    </row>
    <row r="17" spans="1:8" ht="16.5" customHeight="1" x14ac:dyDescent="0.3">
      <c r="B17" s="4">
        <f t="array" ref="B17:H17">Días+1+DATE(Calendario2Año,Calendario2MesOpción,1)-WEEKDAY(DATE(Calendario2Año,Calendario2MesOpción,1),DíaDeLaSemanaOpción)</f>
        <v>43493</v>
      </c>
      <c r="C17" s="4">
        <v>43494</v>
      </c>
      <c r="D17" s="4">
        <v>43495</v>
      </c>
      <c r="E17" s="4">
        <v>43496</v>
      </c>
      <c r="F17" s="4">
        <v>43497</v>
      </c>
      <c r="G17" s="4">
        <v>43498</v>
      </c>
      <c r="H17" s="5">
        <v>43499</v>
      </c>
    </row>
    <row r="18" spans="1:8" ht="56.25" customHeight="1" x14ac:dyDescent="0.3">
      <c r="B18" s="10"/>
      <c r="C18" s="10"/>
      <c r="D18" s="13" t="s">
        <v>3</v>
      </c>
      <c r="E18" s="10"/>
      <c r="F18" s="13" t="s">
        <v>3</v>
      </c>
      <c r="G18" s="10"/>
      <c r="H18" s="11"/>
    </row>
    <row r="19" spans="1:8" ht="16.5" customHeight="1" x14ac:dyDescent="0.3">
      <c r="B19" s="4">
        <f t="array" ref="B19:H19">Días+8+DATE(Calendario2Año,Calendario2MesOpción,1)-WEEKDAY(DATE(Calendario2Año,Calendario2MesOpción,1),DíaDeLaSemanaOpción)</f>
        <v>43500</v>
      </c>
      <c r="C19" s="4">
        <v>43501</v>
      </c>
      <c r="D19" s="4">
        <v>43502</v>
      </c>
      <c r="E19" s="4">
        <v>43503</v>
      </c>
      <c r="F19" s="4">
        <v>43504</v>
      </c>
      <c r="G19" s="4">
        <v>43505</v>
      </c>
      <c r="H19" s="5">
        <v>43506</v>
      </c>
    </row>
    <row r="20" spans="1:8" ht="56.25" customHeight="1" x14ac:dyDescent="0.3">
      <c r="B20" s="13" t="s">
        <v>3</v>
      </c>
      <c r="C20" s="10"/>
      <c r="D20" s="13" t="s">
        <v>3</v>
      </c>
      <c r="E20" s="10"/>
      <c r="F20" s="13" t="s">
        <v>3</v>
      </c>
      <c r="G20" s="10"/>
      <c r="H20" s="11"/>
    </row>
    <row r="21" spans="1:8" ht="16.5" customHeight="1" x14ac:dyDescent="0.3">
      <c r="B21" s="4">
        <f t="array" ref="B21:H21">Días+15+DATE(Calendario2Año,Calendario2MesOpción,1)-WEEKDAY(DATE(Calendario2Año,Calendario2MesOpción,1),DíaDeLaSemanaOpción)</f>
        <v>43507</v>
      </c>
      <c r="C21" s="4">
        <v>43508</v>
      </c>
      <c r="D21" s="4">
        <v>43509</v>
      </c>
      <c r="E21" s="4">
        <v>43510</v>
      </c>
      <c r="F21" s="4">
        <v>43511</v>
      </c>
      <c r="G21" s="4">
        <v>43512</v>
      </c>
      <c r="H21" s="5">
        <v>43513</v>
      </c>
    </row>
    <row r="22" spans="1:8" ht="56.25" customHeight="1" x14ac:dyDescent="0.3">
      <c r="B22" s="13" t="s">
        <v>3</v>
      </c>
      <c r="C22" s="10"/>
      <c r="D22" s="13" t="s">
        <v>3</v>
      </c>
      <c r="E22" s="10"/>
      <c r="F22" s="13" t="s">
        <v>3</v>
      </c>
      <c r="G22" s="10"/>
      <c r="H22" s="11"/>
    </row>
    <row r="23" spans="1:8" ht="16.5" customHeight="1" x14ac:dyDescent="0.3">
      <c r="B23" s="4">
        <f t="array" ref="B23:H23">Días+22+DATE(Calendario2Año,Calendario2MesOpción,1)-WEEKDAY(DATE(Calendario2Año,Calendario2MesOpción,1),DíaDeLaSemanaOpción)</f>
        <v>43514</v>
      </c>
      <c r="C23" s="4">
        <v>43515</v>
      </c>
      <c r="D23" s="4">
        <v>43516</v>
      </c>
      <c r="E23" s="4">
        <v>43517</v>
      </c>
      <c r="F23" s="4">
        <v>43518</v>
      </c>
      <c r="G23" s="4">
        <v>43519</v>
      </c>
      <c r="H23" s="5">
        <v>43520</v>
      </c>
    </row>
    <row r="24" spans="1:8" ht="56.25" customHeight="1" x14ac:dyDescent="0.3">
      <c r="B24" s="13" t="s">
        <v>3</v>
      </c>
      <c r="C24" s="10"/>
      <c r="D24" s="13" t="s">
        <v>3</v>
      </c>
      <c r="E24" s="10"/>
      <c r="F24" s="13" t="s">
        <v>3</v>
      </c>
      <c r="G24" s="10"/>
      <c r="H24" s="11"/>
    </row>
    <row r="25" spans="1:8" ht="16.5" customHeight="1" x14ac:dyDescent="0.3">
      <c r="B25" s="4">
        <f t="array" ref="B25:H25">Días+29+DATE(Calendario2Año,Calendario2MesOpción,1)-WEEKDAY(DATE(Calendario2Año,Calendario2MesOpción,1),DíaDeLaSemanaOpción)</f>
        <v>43521</v>
      </c>
      <c r="C25" s="4">
        <v>43522</v>
      </c>
      <c r="D25" s="4">
        <v>43523</v>
      </c>
      <c r="E25" s="4">
        <v>43524</v>
      </c>
      <c r="F25" s="4">
        <v>43525</v>
      </c>
      <c r="G25" s="4">
        <v>43526</v>
      </c>
      <c r="H25" s="5">
        <v>43527</v>
      </c>
    </row>
    <row r="26" spans="1:8" ht="57" customHeight="1" x14ac:dyDescent="0.3">
      <c r="B26" s="13" t="s">
        <v>3</v>
      </c>
      <c r="C26" s="10"/>
      <c r="D26" s="13" t="s">
        <v>3</v>
      </c>
      <c r="E26" s="10"/>
      <c r="F26" s="10"/>
      <c r="G26" s="10"/>
      <c r="H26" s="12"/>
    </row>
    <row r="27" spans="1:8" ht="16.5" customHeight="1" x14ac:dyDescent="0.3">
      <c r="B27" s="4">
        <f t="array" ref="B27:C27">Días+36+DATE(Calendario2Año,Calendario2MesOpción,1)-WEEKDAY(DATE(Calendario2Año,Calendario2MesOpción,1),DíaDeLaSemanaOpción)</f>
        <v>43528</v>
      </c>
      <c r="C27" s="4">
        <v>43529</v>
      </c>
      <c r="D27" s="63" t="s">
        <v>1</v>
      </c>
      <c r="E27" s="63"/>
      <c r="F27" s="63"/>
      <c r="G27" s="63"/>
      <c r="H27" s="63"/>
    </row>
    <row r="28" spans="1:8" ht="63.75" customHeight="1" x14ac:dyDescent="0.3">
      <c r="B28" s="10"/>
      <c r="C28" s="10"/>
      <c r="D28" s="64"/>
      <c r="E28" s="64"/>
      <c r="F28" s="64"/>
      <c r="G28" s="64"/>
      <c r="H28" s="64"/>
    </row>
    <row r="29" spans="1:8" ht="54" customHeight="1" x14ac:dyDescent="0.7">
      <c r="A29" s="2"/>
      <c r="B29" s="1">
        <f>YEAR(DATE(Calendario2Año,Calendario2MesOpción+1,1))</f>
        <v>2019</v>
      </c>
      <c r="C29" s="6" t="str">
        <f>TEXT(DATE(Calendario2Año,Calendario2MesOpción+1,1),"mmmm")</f>
        <v>marzo</v>
      </c>
      <c r="D29" s="9"/>
      <c r="E29" s="9"/>
      <c r="F29" s="9"/>
      <c r="G29" s="9"/>
      <c r="H29" s="2"/>
    </row>
    <row r="30" spans="1:8" ht="14.25" customHeight="1" x14ac:dyDescent="0.3">
      <c r="A30" s="3"/>
      <c r="B30" s="7" t="str">
        <f>UPPER(TEXT(B31,"dddd"))</f>
        <v>LUNES</v>
      </c>
      <c r="C30" s="8" t="str">
        <f t="shared" ref="C30" si="2">UPPER(TEXT(C31,"dddd"))</f>
        <v>MARTES</v>
      </c>
      <c r="D30" s="7" t="str">
        <f t="shared" ref="D30" si="3">UPPER(TEXT(D31,"dddd"))</f>
        <v>MIÉRCOLES</v>
      </c>
      <c r="E30" s="8" t="str">
        <f t="shared" ref="E30" si="4">UPPER(TEXT(E31,"dddd"))</f>
        <v>JUEVES</v>
      </c>
      <c r="F30" s="7" t="str">
        <f t="shared" ref="F30" si="5">UPPER(TEXT(F31,"dddd"))</f>
        <v>VIERNES</v>
      </c>
      <c r="G30" s="8" t="str">
        <f t="shared" ref="G30" si="6">UPPER(TEXT(G31,"dddd"))</f>
        <v>SÁBADO</v>
      </c>
      <c r="H30" s="7" t="str">
        <f t="shared" ref="H30" si="7">UPPER(TEXT(H31,"dddd"))</f>
        <v>DOMINGO</v>
      </c>
    </row>
    <row r="31" spans="1:8" ht="16.5" customHeight="1" x14ac:dyDescent="0.3">
      <c r="B31" s="4">
        <f t="array" ref="B31:H31">Días+1+DATE(Calendario3Año,Calendario3MesOpción,1)-WEEKDAY(DATE(Calendario3Año,Calendario3MesOpción,1),DíaDeLaSemanaOpción)</f>
        <v>43521</v>
      </c>
      <c r="C31" s="4">
        <v>43522</v>
      </c>
      <c r="D31" s="4">
        <v>43523</v>
      </c>
      <c r="E31" s="4">
        <v>43524</v>
      </c>
      <c r="F31" s="4">
        <v>43525</v>
      </c>
      <c r="G31" s="4">
        <v>43526</v>
      </c>
      <c r="H31" s="5">
        <v>43527</v>
      </c>
    </row>
    <row r="32" spans="1:8" ht="56.25" customHeight="1" x14ac:dyDescent="0.3">
      <c r="B32" s="10"/>
      <c r="C32" s="10"/>
      <c r="D32" s="10"/>
      <c r="E32" s="10"/>
      <c r="F32" s="13" t="s">
        <v>3</v>
      </c>
      <c r="G32" s="10"/>
      <c r="H32" s="11"/>
    </row>
    <row r="33" spans="1:8" ht="16.5" customHeight="1" x14ac:dyDescent="0.3">
      <c r="B33" s="4">
        <f t="array" ref="B33:H33">Días+8+DATE(Calendario3Año,Calendario3MesOpción,1)-WEEKDAY(DATE(Calendario3Año,Calendario3MesOpción,1),DíaDeLaSemanaOpción)</f>
        <v>43528</v>
      </c>
      <c r="C33" s="4">
        <v>43529</v>
      </c>
      <c r="D33" s="4">
        <v>43530</v>
      </c>
      <c r="E33" s="4">
        <v>43531</v>
      </c>
      <c r="F33" s="4">
        <v>43532</v>
      </c>
      <c r="G33" s="4">
        <v>43533</v>
      </c>
      <c r="H33" s="5">
        <v>43534</v>
      </c>
    </row>
    <row r="34" spans="1:8" ht="56.25" customHeight="1" x14ac:dyDescent="0.3">
      <c r="B34" s="13" t="s">
        <v>3</v>
      </c>
      <c r="C34" s="10"/>
      <c r="D34" s="13" t="s">
        <v>3</v>
      </c>
      <c r="E34" s="10"/>
      <c r="F34" s="13" t="s">
        <v>3</v>
      </c>
      <c r="G34" s="10"/>
      <c r="H34" s="11"/>
    </row>
    <row r="35" spans="1:8" ht="16.5" customHeight="1" x14ac:dyDescent="0.3">
      <c r="B35" s="4">
        <f t="array" ref="B35:H35">Días+15+DATE(Calendario3Año,Calendario3MesOpción,1)-WEEKDAY(DATE(Calendario3Año,Calendario3MesOpción,1),DíaDeLaSemanaOpción)</f>
        <v>43535</v>
      </c>
      <c r="C35" s="4">
        <v>43536</v>
      </c>
      <c r="D35" s="4">
        <v>43537</v>
      </c>
      <c r="E35" s="4">
        <v>43538</v>
      </c>
      <c r="F35" s="4">
        <v>43539</v>
      </c>
      <c r="G35" s="4">
        <v>43540</v>
      </c>
      <c r="H35" s="5">
        <v>43541</v>
      </c>
    </row>
    <row r="36" spans="1:8" ht="56.25" customHeight="1" x14ac:dyDescent="0.3">
      <c r="B36" s="13" t="s">
        <v>3</v>
      </c>
      <c r="C36" s="10"/>
      <c r="D36" s="13" t="s">
        <v>3</v>
      </c>
      <c r="E36" s="10"/>
      <c r="F36" s="13" t="s">
        <v>3</v>
      </c>
      <c r="G36" s="10"/>
      <c r="H36" s="11"/>
    </row>
    <row r="37" spans="1:8" ht="16.5" customHeight="1" x14ac:dyDescent="0.3">
      <c r="B37" s="4">
        <f t="array" ref="B37:H37">Días+22+DATE(Calendario3Año,Calendario3MesOpción,1)-WEEKDAY(DATE(Calendario3Año,Calendario3MesOpción,1),DíaDeLaSemanaOpción)</f>
        <v>43542</v>
      </c>
      <c r="C37" s="4">
        <v>43543</v>
      </c>
      <c r="D37" s="4">
        <v>43544</v>
      </c>
      <c r="E37" s="4">
        <v>43545</v>
      </c>
      <c r="F37" s="4">
        <v>43546</v>
      </c>
      <c r="G37" s="4">
        <v>43547</v>
      </c>
      <c r="H37" s="5">
        <v>43548</v>
      </c>
    </row>
    <row r="38" spans="1:8" ht="56.25" customHeight="1" x14ac:dyDescent="0.3">
      <c r="B38" s="13" t="s">
        <v>3</v>
      </c>
      <c r="C38" s="10"/>
      <c r="D38" s="13" t="s">
        <v>3</v>
      </c>
      <c r="E38" s="10"/>
      <c r="F38" s="13" t="s">
        <v>3</v>
      </c>
      <c r="G38" s="10"/>
      <c r="H38" s="11"/>
    </row>
    <row r="39" spans="1:8" ht="16.5" customHeight="1" x14ac:dyDescent="0.3">
      <c r="B39" s="4">
        <f t="array" ref="B39:H39">Días+29+DATE(Calendario3Año,Calendario3MesOpción,1)-WEEKDAY(DATE(Calendario3Año,Calendario3MesOpción,1),DíaDeLaSemanaOpción)</f>
        <v>43549</v>
      </c>
      <c r="C39" s="4">
        <v>43550</v>
      </c>
      <c r="D39" s="4">
        <v>43551</v>
      </c>
      <c r="E39" s="4">
        <v>43552</v>
      </c>
      <c r="F39" s="4">
        <v>43553</v>
      </c>
      <c r="G39" s="4">
        <v>43554</v>
      </c>
      <c r="H39" s="5">
        <v>43555</v>
      </c>
    </row>
    <row r="40" spans="1:8" ht="57" customHeight="1" x14ac:dyDescent="0.3">
      <c r="B40" s="13" t="s">
        <v>3</v>
      </c>
      <c r="C40" s="10"/>
      <c r="D40" s="13" t="s">
        <v>3</v>
      </c>
      <c r="E40" s="10"/>
      <c r="F40" s="10"/>
      <c r="G40" s="10"/>
      <c r="H40" s="12"/>
    </row>
    <row r="41" spans="1:8" ht="16.5" customHeight="1" x14ac:dyDescent="0.3">
      <c r="B41" s="4">
        <f t="array" ref="B41:C41">Días+36+DATE(Calendario3Año,Calendario3MesOpción,1)-WEEKDAY(DATE(Calendario3Año,Calendario3MesOpción,1),DíaDeLaSemanaOpción)</f>
        <v>43556</v>
      </c>
      <c r="C41" s="4">
        <v>43557</v>
      </c>
      <c r="D41" s="63" t="s">
        <v>1</v>
      </c>
      <c r="E41" s="63"/>
      <c r="F41" s="63"/>
      <c r="G41" s="63"/>
      <c r="H41" s="63"/>
    </row>
    <row r="42" spans="1:8" ht="63.75" customHeight="1" x14ac:dyDescent="0.3">
      <c r="B42" s="10"/>
      <c r="C42" s="10"/>
      <c r="D42" s="64"/>
      <c r="E42" s="64"/>
      <c r="F42" s="64"/>
      <c r="G42" s="64"/>
      <c r="H42" s="64"/>
    </row>
    <row r="43" spans="1:8" ht="54" customHeight="1" x14ac:dyDescent="0.7">
      <c r="A43" s="2"/>
      <c r="B43" s="1">
        <f>YEAR(DATE(Calendario3Año,Calendario3MesOpción+1,1))</f>
        <v>2019</v>
      </c>
      <c r="C43" s="6" t="str">
        <f>TEXT(DATE(Calendario3Año,Calendario3MesOpción+1,1),"mmmm")</f>
        <v>abril</v>
      </c>
      <c r="D43" s="9"/>
      <c r="E43" s="9"/>
      <c r="F43" s="9"/>
      <c r="G43" s="9"/>
      <c r="H43" s="2"/>
    </row>
    <row r="44" spans="1:8" ht="14.25" customHeight="1" x14ac:dyDescent="0.3">
      <c r="A44" s="3"/>
      <c r="B44" s="7" t="str">
        <f>UPPER(TEXT(B45,"dddd"))</f>
        <v>LUNES</v>
      </c>
      <c r="C44" s="8" t="str">
        <f t="shared" ref="C44" si="8">UPPER(TEXT(C45,"dddd"))</f>
        <v>MARTES</v>
      </c>
      <c r="D44" s="7" t="str">
        <f t="shared" ref="D44" si="9">UPPER(TEXT(D45,"dddd"))</f>
        <v>MIÉRCOLES</v>
      </c>
      <c r="E44" s="8" t="str">
        <f t="shared" ref="E44" si="10">UPPER(TEXT(E45,"dddd"))</f>
        <v>JUEVES</v>
      </c>
      <c r="F44" s="7" t="str">
        <f t="shared" ref="F44" si="11">UPPER(TEXT(F45,"dddd"))</f>
        <v>VIERNES</v>
      </c>
      <c r="G44" s="8" t="str">
        <f t="shared" ref="G44" si="12">UPPER(TEXT(G45,"dddd"))</f>
        <v>SÁBADO</v>
      </c>
      <c r="H44" s="7" t="str">
        <f t="shared" ref="H44" si="13">UPPER(TEXT(H45,"dddd"))</f>
        <v>DOMINGO</v>
      </c>
    </row>
    <row r="45" spans="1:8" ht="16.5" customHeight="1" x14ac:dyDescent="0.3">
      <c r="B45" s="4">
        <f t="array" ref="B45:H45">Días+1+DATE(Calendario4Año,Calendario4MesOpción,1)-WEEKDAY(DATE(Calendario4Año,Calendario4MesOpción,1),DíaDeLaSemanaOpción)</f>
        <v>43556</v>
      </c>
      <c r="C45" s="4">
        <v>43557</v>
      </c>
      <c r="D45" s="4">
        <v>43558</v>
      </c>
      <c r="E45" s="4">
        <v>43559</v>
      </c>
      <c r="F45" s="4">
        <v>43560</v>
      </c>
      <c r="G45" s="4">
        <v>43561</v>
      </c>
      <c r="H45" s="5">
        <v>43562</v>
      </c>
    </row>
    <row r="46" spans="1:8" ht="48.75" customHeight="1" x14ac:dyDescent="0.3">
      <c r="B46" s="10"/>
      <c r="C46" s="10"/>
      <c r="D46" s="10"/>
      <c r="E46" s="10"/>
      <c r="F46" s="13" t="s">
        <v>3</v>
      </c>
      <c r="G46" s="10"/>
      <c r="H46" s="11"/>
    </row>
    <row r="47" spans="1:8" ht="16.5" customHeight="1" x14ac:dyDescent="0.3">
      <c r="B47" s="4">
        <f t="array" ref="B47:H47">Días+8+DATE(Calendario4Año,Calendario4MesOpción,1)-WEEKDAY(DATE(Calendario4Año,Calendario4MesOpción,1),DíaDeLaSemanaOpción)</f>
        <v>43563</v>
      </c>
      <c r="C47" s="4">
        <v>43564</v>
      </c>
      <c r="D47" s="4">
        <v>43565</v>
      </c>
      <c r="E47" s="4">
        <v>43566</v>
      </c>
      <c r="F47" s="4">
        <v>43567</v>
      </c>
      <c r="G47" s="4">
        <v>43568</v>
      </c>
      <c r="H47" s="5">
        <v>43569</v>
      </c>
    </row>
    <row r="48" spans="1:8" ht="56.25" customHeight="1" x14ac:dyDescent="0.3">
      <c r="B48" s="13" t="s">
        <v>3</v>
      </c>
      <c r="C48" s="10"/>
      <c r="D48" s="13" t="s">
        <v>3</v>
      </c>
      <c r="E48" s="10"/>
      <c r="F48" s="13" t="s">
        <v>3</v>
      </c>
      <c r="G48" s="10"/>
      <c r="H48" s="11"/>
    </row>
    <row r="49" spans="1:8" ht="16.5" customHeight="1" x14ac:dyDescent="0.3">
      <c r="B49" s="4">
        <f t="array" ref="B49:H49">Días+15+DATE(Calendario4Año,Calendario4MesOpción,1)-WEEKDAY(DATE(Calendario4Año,Calendario4MesOpción,1),DíaDeLaSemanaOpción)</f>
        <v>43570</v>
      </c>
      <c r="C49" s="4">
        <v>43571</v>
      </c>
      <c r="D49" s="4">
        <v>43572</v>
      </c>
      <c r="E49" s="4">
        <v>43573</v>
      </c>
      <c r="F49" s="4">
        <v>43574</v>
      </c>
      <c r="G49" s="4">
        <v>43575</v>
      </c>
      <c r="H49" s="5">
        <v>43576</v>
      </c>
    </row>
    <row r="50" spans="1:8" ht="56.25" customHeight="1" x14ac:dyDescent="0.3">
      <c r="B50" s="13" t="s">
        <v>3</v>
      </c>
      <c r="C50" s="10"/>
      <c r="D50" s="13" t="s">
        <v>3</v>
      </c>
      <c r="E50" s="10"/>
      <c r="F50" s="13" t="s">
        <v>3</v>
      </c>
      <c r="G50" s="10"/>
      <c r="H50" s="11"/>
    </row>
    <row r="51" spans="1:8" ht="16.5" customHeight="1" x14ac:dyDescent="0.3">
      <c r="B51" s="4">
        <f t="array" ref="B51:H51">Días+22+DATE(Calendario4Año,Calendario4MesOpción,1)-WEEKDAY(DATE(Calendario4Año,Calendario4MesOpción,1),DíaDeLaSemanaOpción)</f>
        <v>43577</v>
      </c>
      <c r="C51" s="4">
        <v>43578</v>
      </c>
      <c r="D51" s="4">
        <v>43579</v>
      </c>
      <c r="E51" s="4">
        <v>43580</v>
      </c>
      <c r="F51" s="4">
        <v>43581</v>
      </c>
      <c r="G51" s="4">
        <v>43582</v>
      </c>
      <c r="H51" s="5">
        <v>43583</v>
      </c>
    </row>
    <row r="52" spans="1:8" ht="56.25" customHeight="1" x14ac:dyDescent="0.3">
      <c r="B52" s="13" t="s">
        <v>3</v>
      </c>
      <c r="C52" s="10"/>
      <c r="D52" s="13" t="s">
        <v>3</v>
      </c>
      <c r="E52" s="10"/>
      <c r="F52" s="13" t="s">
        <v>3</v>
      </c>
      <c r="G52" s="10"/>
      <c r="H52" s="11"/>
    </row>
    <row r="53" spans="1:8" ht="16.5" customHeight="1" x14ac:dyDescent="0.3">
      <c r="B53" s="4">
        <f t="array" ref="B53:H53">Días+29+DATE(Calendario4Año,Calendario4MesOpción,1)-WEEKDAY(DATE(Calendario4Año,Calendario4MesOpción,1),DíaDeLaSemanaOpción)</f>
        <v>43584</v>
      </c>
      <c r="C53" s="4">
        <v>43585</v>
      </c>
      <c r="D53" s="4">
        <v>43586</v>
      </c>
      <c r="E53" s="4">
        <v>43587</v>
      </c>
      <c r="F53" s="4">
        <v>43588</v>
      </c>
      <c r="G53" s="4">
        <v>43589</v>
      </c>
      <c r="H53" s="5">
        <v>43590</v>
      </c>
    </row>
    <row r="54" spans="1:8" ht="57" customHeight="1" x14ac:dyDescent="0.3">
      <c r="B54" s="13" t="s">
        <v>3</v>
      </c>
      <c r="C54" s="10"/>
      <c r="D54" s="13" t="s">
        <v>3</v>
      </c>
      <c r="E54" s="10"/>
      <c r="F54" s="13" t="s">
        <v>3</v>
      </c>
      <c r="G54" s="10"/>
      <c r="H54" s="12"/>
    </row>
    <row r="55" spans="1:8" ht="16.5" customHeight="1" x14ac:dyDescent="0.3">
      <c r="B55" s="4">
        <f t="array" ref="B55:C55">Días+36+DATE(Calendario4Año,Calendario4MesOpción,1)-WEEKDAY(DATE(Calendario4Año,Calendario4MesOpción,1),DíaDeLaSemanaOpción)</f>
        <v>43591</v>
      </c>
      <c r="C55" s="4">
        <v>43592</v>
      </c>
      <c r="D55" s="62" t="s">
        <v>1</v>
      </c>
      <c r="E55" s="63"/>
      <c r="F55" s="63"/>
      <c r="G55" s="63"/>
      <c r="H55" s="63"/>
    </row>
    <row r="56" spans="1:8" ht="63.75" customHeight="1" x14ac:dyDescent="0.3">
      <c r="B56" s="10"/>
      <c r="C56" s="10"/>
      <c r="D56" s="64"/>
      <c r="E56" s="64"/>
      <c r="F56" s="64"/>
      <c r="G56" s="64"/>
      <c r="H56" s="64"/>
    </row>
    <row r="57" spans="1:8" ht="54" customHeight="1" x14ac:dyDescent="0.7">
      <c r="A57" s="2"/>
      <c r="B57" s="1">
        <f>YEAR(DATE(Calendario4Año,Calendario4MesOpción+1,1))</f>
        <v>2019</v>
      </c>
      <c r="C57" s="6" t="str">
        <f>TEXT(DATE(Calendario4Año,Calendario4MesOpción+1,1),"mmmm")</f>
        <v>mayo</v>
      </c>
      <c r="D57" s="9"/>
      <c r="E57" s="9"/>
      <c r="F57" s="9"/>
      <c r="G57" s="9"/>
      <c r="H57" s="2"/>
    </row>
    <row r="58" spans="1:8" ht="14.25" customHeight="1" x14ac:dyDescent="0.3">
      <c r="A58" s="3"/>
      <c r="B58" s="7" t="str">
        <f>UPPER(TEXT(B59,"dddd"))</f>
        <v>LUNES</v>
      </c>
      <c r="C58" s="8" t="str">
        <f t="shared" ref="C58" si="14">UPPER(TEXT(C59,"dddd"))</f>
        <v>MARTES</v>
      </c>
      <c r="D58" s="7" t="str">
        <f t="shared" ref="D58" si="15">UPPER(TEXT(D59,"dddd"))</f>
        <v>MIÉRCOLES</v>
      </c>
      <c r="E58" s="8" t="str">
        <f t="shared" ref="E58" si="16">UPPER(TEXT(E59,"dddd"))</f>
        <v>JUEVES</v>
      </c>
      <c r="F58" s="7" t="str">
        <f t="shared" ref="F58" si="17">UPPER(TEXT(F59,"dddd"))</f>
        <v>VIERNES</v>
      </c>
      <c r="G58" s="8" t="str">
        <f t="shared" ref="G58" si="18">UPPER(TEXT(G59,"dddd"))</f>
        <v>SÁBADO</v>
      </c>
      <c r="H58" s="7" t="str">
        <f t="shared" ref="H58" si="19">UPPER(TEXT(H59,"dddd"))</f>
        <v>DOMINGO</v>
      </c>
    </row>
    <row r="59" spans="1:8" ht="16.5" customHeight="1" x14ac:dyDescent="0.3">
      <c r="B59" s="4">
        <f t="array" ref="B59:H59">Días+1+DATE(Calendario5Año,Calendario5MesOpción,1)-WEEKDAY(DATE(Calendario5Año,Calendario5MesOpción,1),DíaDeLaSemanaOpción)</f>
        <v>43584</v>
      </c>
      <c r="C59" s="4">
        <v>43585</v>
      </c>
      <c r="D59" s="4">
        <v>43586</v>
      </c>
      <c r="E59" s="4">
        <v>43587</v>
      </c>
      <c r="F59" s="4">
        <v>43588</v>
      </c>
      <c r="G59" s="4">
        <v>43589</v>
      </c>
      <c r="H59" s="5">
        <v>43590</v>
      </c>
    </row>
    <row r="60" spans="1:8" ht="57" customHeight="1" x14ac:dyDescent="0.3">
      <c r="B60" s="10"/>
      <c r="C60" s="10"/>
      <c r="D60" s="10"/>
      <c r="E60" s="10"/>
      <c r="F60" s="10"/>
      <c r="G60" s="10"/>
      <c r="H60" s="12"/>
    </row>
    <row r="61" spans="1:8" ht="16.5" customHeight="1" x14ac:dyDescent="0.3">
      <c r="B61" s="4">
        <f t="array" ref="B61:H61">Días+8+DATE(Calendario5Año,Calendario5MesOpción,1)-WEEKDAY(DATE(Calendario5Año,Calendario5MesOpción,1),DíaDeLaSemanaOpción)</f>
        <v>43591</v>
      </c>
      <c r="C61" s="4">
        <v>43592</v>
      </c>
      <c r="D61" s="4">
        <v>43593</v>
      </c>
      <c r="E61" s="4">
        <v>43594</v>
      </c>
      <c r="F61" s="4">
        <v>43595</v>
      </c>
      <c r="G61" s="4">
        <v>43596</v>
      </c>
      <c r="H61" s="5">
        <v>43597</v>
      </c>
    </row>
    <row r="62" spans="1:8" ht="57" customHeight="1" x14ac:dyDescent="0.3">
      <c r="B62" s="10"/>
      <c r="C62" s="10"/>
      <c r="D62" s="10"/>
      <c r="E62" s="10"/>
      <c r="F62" s="10"/>
      <c r="G62" s="10"/>
      <c r="H62" s="12"/>
    </row>
    <row r="63" spans="1:8" ht="16.5" customHeight="1" x14ac:dyDescent="0.3">
      <c r="B63" s="4">
        <f t="array" ref="B63:H63">Días+15+DATE(Calendario5Año,Calendario5MesOpción,1)-WEEKDAY(DATE(Calendario5Año,Calendario5MesOpción,1),DíaDeLaSemanaOpción)</f>
        <v>43598</v>
      </c>
      <c r="C63" s="4">
        <v>43599</v>
      </c>
      <c r="D63" s="4">
        <v>43600</v>
      </c>
      <c r="E63" s="4">
        <v>43601</v>
      </c>
      <c r="F63" s="4">
        <v>43602</v>
      </c>
      <c r="G63" s="4">
        <v>43603</v>
      </c>
      <c r="H63" s="5">
        <v>43604</v>
      </c>
    </row>
    <row r="64" spans="1:8" ht="57" customHeight="1" x14ac:dyDescent="0.3">
      <c r="B64" s="10"/>
      <c r="C64" s="10"/>
      <c r="D64" s="10"/>
      <c r="E64" s="10"/>
      <c r="F64" s="10"/>
      <c r="G64" s="10"/>
      <c r="H64" s="12"/>
    </row>
    <row r="65" spans="1:8" ht="16.5" customHeight="1" x14ac:dyDescent="0.3">
      <c r="B65" s="4">
        <f t="array" ref="B65:H65">Días+22+DATE(Calendario5Año,Calendario5MesOpción,1)-WEEKDAY(DATE(Calendario5Año,Calendario5MesOpción,1),DíaDeLaSemanaOpción)</f>
        <v>43605</v>
      </c>
      <c r="C65" s="4">
        <v>43606</v>
      </c>
      <c r="D65" s="4">
        <v>43607</v>
      </c>
      <c r="E65" s="4">
        <v>43608</v>
      </c>
      <c r="F65" s="4">
        <v>43609</v>
      </c>
      <c r="G65" s="4">
        <v>43610</v>
      </c>
      <c r="H65" s="5">
        <v>43611</v>
      </c>
    </row>
    <row r="66" spans="1:8" ht="57" customHeight="1" x14ac:dyDescent="0.3">
      <c r="B66" s="10"/>
      <c r="C66" s="10"/>
      <c r="D66" s="10"/>
      <c r="E66" s="10"/>
      <c r="F66" s="10"/>
      <c r="G66" s="10"/>
      <c r="H66" s="12"/>
    </row>
    <row r="67" spans="1:8" ht="16.5" customHeight="1" x14ac:dyDescent="0.3">
      <c r="B67" s="4">
        <f t="array" ref="B67:H67">Días+29+DATE(Calendario5Año,Calendario5MesOpción,1)-WEEKDAY(DATE(Calendario5Año,Calendario5MesOpción,1),DíaDeLaSemanaOpción)</f>
        <v>43612</v>
      </c>
      <c r="C67" s="4">
        <v>43613</v>
      </c>
      <c r="D67" s="4">
        <v>43614</v>
      </c>
      <c r="E67" s="4">
        <v>43615</v>
      </c>
      <c r="F67" s="4">
        <v>43616</v>
      </c>
      <c r="G67" s="4">
        <v>43617</v>
      </c>
      <c r="H67" s="5">
        <v>43618</v>
      </c>
    </row>
    <row r="68" spans="1:8" ht="57" customHeight="1" x14ac:dyDescent="0.3">
      <c r="B68" s="10"/>
      <c r="C68" s="10"/>
      <c r="D68" s="10"/>
      <c r="E68" s="10"/>
      <c r="F68" s="10"/>
      <c r="G68" s="10"/>
      <c r="H68" s="12"/>
    </row>
    <row r="69" spans="1:8" ht="16.5" customHeight="1" x14ac:dyDescent="0.3">
      <c r="B69" s="4">
        <f t="array" ref="B69:C69">Días+36+DATE(Calendario5Año,Calendario5MesOpción,1)-WEEKDAY(DATE(Calendario5Año,Calendario5MesOpción,1),DíaDeLaSemanaOpción)</f>
        <v>43619</v>
      </c>
      <c r="C69" s="4">
        <v>43620</v>
      </c>
      <c r="D69" s="62" t="s">
        <v>1</v>
      </c>
      <c r="E69" s="63"/>
      <c r="F69" s="63"/>
      <c r="G69" s="63"/>
      <c r="H69" s="63"/>
    </row>
    <row r="70" spans="1:8" ht="63.75" customHeight="1" x14ac:dyDescent="0.3">
      <c r="B70" s="10"/>
      <c r="C70" s="10"/>
      <c r="D70" s="64"/>
      <c r="E70" s="64"/>
      <c r="F70" s="64"/>
      <c r="G70" s="64"/>
      <c r="H70" s="64"/>
    </row>
    <row r="71" spans="1:8" ht="54" customHeight="1" x14ac:dyDescent="0.7">
      <c r="A71" s="2"/>
      <c r="B71" s="1">
        <f>YEAR(DATE(Calendario5Año,Calendario5MesOpción+1,1))</f>
        <v>2019</v>
      </c>
      <c r="C71" s="6" t="str">
        <f>TEXT(DATE(Calendario5Año,Calendario5MesOpción+1,1),"mmmm")</f>
        <v>junio</v>
      </c>
      <c r="D71" s="9"/>
      <c r="E71" s="9"/>
      <c r="F71" s="9"/>
      <c r="G71" s="9"/>
      <c r="H71" s="2"/>
    </row>
    <row r="72" spans="1:8" ht="14.25" customHeight="1" x14ac:dyDescent="0.3">
      <c r="A72" s="3"/>
      <c r="B72" s="7" t="str">
        <f>UPPER(TEXT(B73,"dddd"))</f>
        <v>LUNES</v>
      </c>
      <c r="C72" s="8" t="str">
        <f t="shared" ref="C72" si="20">UPPER(TEXT(C73,"dddd"))</f>
        <v>MARTES</v>
      </c>
      <c r="D72" s="7" t="str">
        <f t="shared" ref="D72" si="21">UPPER(TEXT(D73,"dddd"))</f>
        <v>MIÉRCOLES</v>
      </c>
      <c r="E72" s="8" t="str">
        <f t="shared" ref="E72" si="22">UPPER(TEXT(E73,"dddd"))</f>
        <v>JUEVES</v>
      </c>
      <c r="F72" s="7" t="str">
        <f t="shared" ref="F72" si="23">UPPER(TEXT(F73,"dddd"))</f>
        <v>VIERNES</v>
      </c>
      <c r="G72" s="8" t="str">
        <f t="shared" ref="G72" si="24">UPPER(TEXT(G73,"dddd"))</f>
        <v>SÁBADO</v>
      </c>
      <c r="H72" s="7" t="str">
        <f t="shared" ref="H72" si="25">UPPER(TEXT(H73,"dddd"))</f>
        <v>DOMINGO</v>
      </c>
    </row>
    <row r="73" spans="1:8" ht="16.5" customHeight="1" x14ac:dyDescent="0.3">
      <c r="B73" s="4">
        <f t="array" ref="B73:H73">Días+1+DATE(Calendario6Año,Calendario6MesOpción,1)-WEEKDAY(DATE(Calendario6Año,Calendario6MesOpción,1),DíaDeLaSemanaOpción)</f>
        <v>43612</v>
      </c>
      <c r="C73" s="4">
        <v>43613</v>
      </c>
      <c r="D73" s="4">
        <v>43614</v>
      </c>
      <c r="E73" s="4">
        <v>43615</v>
      </c>
      <c r="F73" s="4">
        <v>43616</v>
      </c>
      <c r="G73" s="4">
        <v>43617</v>
      </c>
      <c r="H73" s="5">
        <v>43618</v>
      </c>
    </row>
    <row r="74" spans="1:8" ht="56.25" customHeight="1" x14ac:dyDescent="0.3">
      <c r="B74" s="10"/>
      <c r="C74" s="10"/>
      <c r="D74" s="10"/>
      <c r="E74" s="10"/>
      <c r="F74" s="10"/>
      <c r="G74" s="10"/>
      <c r="H74" s="11"/>
    </row>
    <row r="75" spans="1:8" ht="16.5" customHeight="1" x14ac:dyDescent="0.3">
      <c r="B75" s="4">
        <f t="array" ref="B75:H75">Días+8+DATE(Calendario6Año,Calendario6MesOpción,1)-WEEKDAY(DATE(Calendario6Año,Calendario6MesOpción,1),DíaDeLaSemanaOpción)</f>
        <v>43619</v>
      </c>
      <c r="C75" s="4">
        <v>43620</v>
      </c>
      <c r="D75" s="4">
        <v>43621</v>
      </c>
      <c r="E75" s="4">
        <v>43622</v>
      </c>
      <c r="F75" s="4">
        <v>43623</v>
      </c>
      <c r="G75" s="4">
        <v>43624</v>
      </c>
      <c r="H75" s="5">
        <v>43625</v>
      </c>
    </row>
    <row r="76" spans="1:8" ht="56.25" customHeight="1" x14ac:dyDescent="0.3">
      <c r="B76" s="10"/>
      <c r="C76" s="10"/>
      <c r="D76" s="10"/>
      <c r="E76" s="10"/>
      <c r="F76" s="10"/>
      <c r="G76" s="10"/>
      <c r="H76" s="11"/>
    </row>
    <row r="77" spans="1:8" ht="16.5" customHeight="1" x14ac:dyDescent="0.3">
      <c r="B77" s="4">
        <f t="array" ref="B77:H77">Días+15+DATE(Calendario6Año,Calendario6MesOpción,1)-WEEKDAY(DATE(Calendario6Año,Calendario6MesOpción,1),DíaDeLaSemanaOpción)</f>
        <v>43626</v>
      </c>
      <c r="C77" s="4">
        <v>43627</v>
      </c>
      <c r="D77" s="4">
        <v>43628</v>
      </c>
      <c r="E77" s="4">
        <v>43629</v>
      </c>
      <c r="F77" s="4">
        <v>43630</v>
      </c>
      <c r="G77" s="4">
        <v>43631</v>
      </c>
      <c r="H77" s="5">
        <v>43632</v>
      </c>
    </row>
    <row r="78" spans="1:8" ht="56.25" customHeight="1" x14ac:dyDescent="0.3">
      <c r="B78" s="10"/>
      <c r="C78" s="10"/>
      <c r="D78" s="10"/>
      <c r="E78" s="10"/>
      <c r="F78" s="10"/>
      <c r="G78" s="10"/>
      <c r="H78" s="11"/>
    </row>
    <row r="79" spans="1:8" ht="16.5" customHeight="1" x14ac:dyDescent="0.3">
      <c r="B79" s="4">
        <f t="array" ref="B79:H79">Días+22+DATE(Calendario6Año,Calendario6MesOpción,1)-WEEKDAY(DATE(Calendario6Año,Calendario6MesOpción,1),DíaDeLaSemanaOpción)</f>
        <v>43633</v>
      </c>
      <c r="C79" s="4">
        <v>43634</v>
      </c>
      <c r="D79" s="4">
        <v>43635</v>
      </c>
      <c r="E79" s="4">
        <v>43636</v>
      </c>
      <c r="F79" s="4">
        <v>43637</v>
      </c>
      <c r="G79" s="4">
        <v>43638</v>
      </c>
      <c r="H79" s="5">
        <v>43639</v>
      </c>
    </row>
    <row r="80" spans="1:8" ht="56.25" customHeight="1" x14ac:dyDescent="0.3">
      <c r="B80" s="10"/>
      <c r="C80" s="10"/>
      <c r="D80" s="10"/>
      <c r="E80" s="10"/>
      <c r="F80" s="10"/>
      <c r="G80" s="10"/>
      <c r="H80" s="11"/>
    </row>
    <row r="81" spans="1:8" ht="16.5" customHeight="1" x14ac:dyDescent="0.3">
      <c r="B81" s="4">
        <f t="array" ref="B81:H81">Días+29+DATE(Calendario6Año,Calendario6MesOpción,1)-WEEKDAY(DATE(Calendario6Año,Calendario6MesOpción,1),DíaDeLaSemanaOpción)</f>
        <v>43640</v>
      </c>
      <c r="C81" s="4">
        <v>43641</v>
      </c>
      <c r="D81" s="4">
        <v>43642</v>
      </c>
      <c r="E81" s="4">
        <v>43643</v>
      </c>
      <c r="F81" s="4">
        <v>43644</v>
      </c>
      <c r="G81" s="4">
        <v>43645</v>
      </c>
      <c r="H81" s="5">
        <v>43646</v>
      </c>
    </row>
    <row r="82" spans="1:8" ht="57" customHeight="1" x14ac:dyDescent="0.3">
      <c r="B82" s="10"/>
      <c r="C82" s="10"/>
      <c r="D82" s="10"/>
      <c r="E82" s="10"/>
      <c r="F82" s="10"/>
      <c r="G82" s="10"/>
      <c r="H82" s="12"/>
    </row>
    <row r="83" spans="1:8" ht="16.5" customHeight="1" x14ac:dyDescent="0.3">
      <c r="B83" s="4">
        <f t="array" ref="B83:C83">Días+36+DATE(Calendario6Año,Calendario6MesOpción,1)-WEEKDAY(DATE(Calendario6Año,Calendario6MesOpción,1),DíaDeLaSemanaOpción)</f>
        <v>43647</v>
      </c>
      <c r="C83" s="4">
        <v>43648</v>
      </c>
      <c r="D83" s="62" t="s">
        <v>1</v>
      </c>
      <c r="E83" s="63"/>
      <c r="F83" s="63"/>
      <c r="G83" s="63"/>
      <c r="H83" s="63"/>
    </row>
    <row r="84" spans="1:8" ht="63.75" customHeight="1" x14ac:dyDescent="0.3">
      <c r="B84" s="10"/>
      <c r="C84" s="10"/>
      <c r="D84" s="64"/>
      <c r="E84" s="64"/>
      <c r="F84" s="64"/>
      <c r="G84" s="64"/>
      <c r="H84" s="64"/>
    </row>
    <row r="85" spans="1:8" ht="54" customHeight="1" x14ac:dyDescent="0.7">
      <c r="A85" s="2"/>
      <c r="B85" s="1">
        <f>YEAR(DATE(Calendario6Año,Calendario6MesOpción+1,1))</f>
        <v>2019</v>
      </c>
      <c r="C85" s="6" t="str">
        <f>TEXT(DATE(Calendario6Año,Calendario6MesOpción+1,1),"mmmm")</f>
        <v>julio</v>
      </c>
      <c r="D85" s="9"/>
      <c r="E85" s="9"/>
      <c r="F85" s="9"/>
      <c r="G85" s="9"/>
      <c r="H85" s="2"/>
    </row>
    <row r="86" spans="1:8" ht="14.25" customHeight="1" x14ac:dyDescent="0.3">
      <c r="A86" s="3"/>
      <c r="B86" s="7" t="str">
        <f>UPPER(TEXT(B87,"dddd"))</f>
        <v>LUNES</v>
      </c>
      <c r="C86" s="8" t="str">
        <f t="shared" ref="C86" si="26">UPPER(TEXT(C87,"dddd"))</f>
        <v>MARTES</v>
      </c>
      <c r="D86" s="7" t="str">
        <f t="shared" ref="D86" si="27">UPPER(TEXT(D87,"dddd"))</f>
        <v>MIÉRCOLES</v>
      </c>
      <c r="E86" s="8" t="str">
        <f t="shared" ref="E86" si="28">UPPER(TEXT(E87,"dddd"))</f>
        <v>JUEVES</v>
      </c>
      <c r="F86" s="7" t="str">
        <f t="shared" ref="F86" si="29">UPPER(TEXT(F87,"dddd"))</f>
        <v>VIERNES</v>
      </c>
      <c r="G86" s="8" t="str">
        <f t="shared" ref="G86" si="30">UPPER(TEXT(G87,"dddd"))</f>
        <v>SÁBADO</v>
      </c>
      <c r="H86" s="7" t="str">
        <f t="shared" ref="H86" si="31">UPPER(TEXT(H87,"dddd"))</f>
        <v>DOMINGO</v>
      </c>
    </row>
    <row r="87" spans="1:8" ht="16.5" customHeight="1" x14ac:dyDescent="0.3">
      <c r="B87" s="4">
        <f t="array" ref="B87:H87">Días+1+DATE(Calendario7Año,Calendario7MesOpción,1)-WEEKDAY(DATE(Calendario7Año,Calendario7MesOpción,1),DíaDeLaSemanaOpción)</f>
        <v>43647</v>
      </c>
      <c r="C87" s="4">
        <v>43648</v>
      </c>
      <c r="D87" s="4">
        <v>43649</v>
      </c>
      <c r="E87" s="4">
        <v>43650</v>
      </c>
      <c r="F87" s="4">
        <v>43651</v>
      </c>
      <c r="G87" s="4">
        <v>43652</v>
      </c>
      <c r="H87" s="5">
        <v>43653</v>
      </c>
    </row>
    <row r="88" spans="1:8" ht="56.25" customHeight="1" x14ac:dyDescent="0.3">
      <c r="B88" s="10"/>
      <c r="C88" s="10"/>
      <c r="D88" s="10"/>
      <c r="E88" s="10"/>
      <c r="F88" s="10"/>
      <c r="G88" s="10"/>
      <c r="H88" s="11"/>
    </row>
    <row r="89" spans="1:8" ht="16.5" customHeight="1" x14ac:dyDescent="0.3">
      <c r="B89" s="4">
        <f t="array" ref="B89:H89">Días+8+DATE(Calendario7Año,Calendario7MesOpción,1)-WEEKDAY(DATE(Calendario7Año,Calendario7MesOpción,1),DíaDeLaSemanaOpción)</f>
        <v>43654</v>
      </c>
      <c r="C89" s="4">
        <v>43655</v>
      </c>
      <c r="D89" s="4">
        <v>43656</v>
      </c>
      <c r="E89" s="4">
        <v>43657</v>
      </c>
      <c r="F89" s="4">
        <v>43658</v>
      </c>
      <c r="G89" s="4">
        <v>43659</v>
      </c>
      <c r="H89" s="5">
        <v>43660</v>
      </c>
    </row>
    <row r="90" spans="1:8" ht="56.25" customHeight="1" x14ac:dyDescent="0.3">
      <c r="B90" s="10"/>
      <c r="C90" s="10"/>
      <c r="D90" s="10"/>
      <c r="E90" s="10"/>
      <c r="F90" s="10"/>
      <c r="G90" s="10"/>
      <c r="H90" s="11"/>
    </row>
    <row r="91" spans="1:8" ht="16.5" customHeight="1" x14ac:dyDescent="0.3">
      <c r="B91" s="4">
        <f t="array" ref="B91:H91">Días+15+DATE(Calendario7Año,Calendario7MesOpción,1)-WEEKDAY(DATE(Calendario7Año,Calendario7MesOpción,1),DíaDeLaSemanaOpción)</f>
        <v>43661</v>
      </c>
      <c r="C91" s="4">
        <v>43662</v>
      </c>
      <c r="D91" s="4">
        <v>43663</v>
      </c>
      <c r="E91" s="4">
        <v>43664</v>
      </c>
      <c r="F91" s="4">
        <v>43665</v>
      </c>
      <c r="G91" s="4">
        <v>43666</v>
      </c>
      <c r="H91" s="5">
        <v>43667</v>
      </c>
    </row>
    <row r="92" spans="1:8" ht="56.25" customHeight="1" x14ac:dyDescent="0.3">
      <c r="B92" s="10"/>
      <c r="C92" s="10"/>
      <c r="D92" s="10"/>
      <c r="E92" s="10"/>
      <c r="F92" s="10"/>
      <c r="G92" s="10"/>
      <c r="H92" s="11"/>
    </row>
    <row r="93" spans="1:8" ht="16.5" customHeight="1" x14ac:dyDescent="0.3">
      <c r="B93" s="4">
        <f t="array" ref="B93:H93">Días+22+DATE(Calendario7Año,Calendario7MesOpción,1)-WEEKDAY(DATE(Calendario7Año,Calendario7MesOpción,1),DíaDeLaSemanaOpción)</f>
        <v>43668</v>
      </c>
      <c r="C93" s="4">
        <v>43669</v>
      </c>
      <c r="D93" s="4">
        <v>43670</v>
      </c>
      <c r="E93" s="4">
        <v>43671</v>
      </c>
      <c r="F93" s="4">
        <v>43672</v>
      </c>
      <c r="G93" s="4">
        <v>43673</v>
      </c>
      <c r="H93" s="5">
        <v>43674</v>
      </c>
    </row>
    <row r="94" spans="1:8" ht="56.25" customHeight="1" x14ac:dyDescent="0.3">
      <c r="B94" s="10"/>
      <c r="C94" s="10"/>
      <c r="D94" s="10"/>
      <c r="E94" s="10"/>
      <c r="F94" s="10"/>
      <c r="G94" s="10"/>
      <c r="H94" s="11"/>
    </row>
    <row r="95" spans="1:8" ht="16.5" customHeight="1" x14ac:dyDescent="0.3">
      <c r="B95" s="4">
        <f t="array" ref="B95:H95">Días+29+DATE(Calendario7Año,Calendario7MesOpción,1)-WEEKDAY(DATE(Calendario7Año,Calendario7MesOpción,1),DíaDeLaSemanaOpción)</f>
        <v>43675</v>
      </c>
      <c r="C95" s="4">
        <v>43676</v>
      </c>
      <c r="D95" s="4">
        <v>43677</v>
      </c>
      <c r="E95" s="4">
        <v>43678</v>
      </c>
      <c r="F95" s="4">
        <v>43679</v>
      </c>
      <c r="G95" s="4">
        <v>43680</v>
      </c>
      <c r="H95" s="5">
        <v>43681</v>
      </c>
    </row>
    <row r="96" spans="1:8" ht="57" customHeight="1" x14ac:dyDescent="0.3">
      <c r="B96" s="10"/>
      <c r="C96" s="10"/>
      <c r="D96" s="10"/>
      <c r="E96" s="10"/>
      <c r="F96" s="10"/>
      <c r="G96" s="10"/>
      <c r="H96" s="12"/>
    </row>
    <row r="97" spans="1:8" ht="16.5" customHeight="1" x14ac:dyDescent="0.3">
      <c r="B97" s="4">
        <f t="array" ref="B97:C97">Días+36+DATE(Calendario7Año,Calendario7MesOpción,1)-WEEKDAY(DATE(Calendario7Año,Calendario7MesOpción,1),DíaDeLaSemanaOpción)</f>
        <v>43682</v>
      </c>
      <c r="C97" s="4">
        <v>43683</v>
      </c>
      <c r="D97" s="62" t="s">
        <v>1</v>
      </c>
      <c r="E97" s="63"/>
      <c r="F97" s="63"/>
      <c r="G97" s="63"/>
      <c r="H97" s="63"/>
    </row>
    <row r="98" spans="1:8" ht="63.75" customHeight="1" x14ac:dyDescent="0.3">
      <c r="B98" s="10"/>
      <c r="C98" s="10"/>
      <c r="D98" s="64"/>
      <c r="E98" s="64"/>
      <c r="F98" s="64"/>
      <c r="G98" s="64"/>
      <c r="H98" s="64"/>
    </row>
    <row r="99" spans="1:8" ht="54" customHeight="1" x14ac:dyDescent="0.7">
      <c r="A99" s="2"/>
      <c r="B99" s="1">
        <f>YEAR(DATE(Calendario7Año,Calendario7MesOpción+1,1))</f>
        <v>2019</v>
      </c>
      <c r="C99" s="6" t="str">
        <f>TEXT(DATE(Calendario7Año,Calendario7MesOpción+1,1),"mmmm")</f>
        <v>agosto</v>
      </c>
      <c r="D99" s="9"/>
      <c r="E99" s="9"/>
      <c r="F99" s="9"/>
      <c r="G99" s="9"/>
      <c r="H99" s="2"/>
    </row>
    <row r="100" spans="1:8" ht="14.25" customHeight="1" x14ac:dyDescent="0.3">
      <c r="A100" s="3"/>
      <c r="B100" s="7" t="str">
        <f>UPPER(TEXT(B101,"dddd"))</f>
        <v>LUNES</v>
      </c>
      <c r="C100" s="8" t="str">
        <f t="shared" ref="C100" si="32">UPPER(TEXT(C101,"dddd"))</f>
        <v>MARTES</v>
      </c>
      <c r="D100" s="7" t="str">
        <f t="shared" ref="D100" si="33">UPPER(TEXT(D101,"dddd"))</f>
        <v>MIÉRCOLES</v>
      </c>
      <c r="E100" s="8" t="str">
        <f t="shared" ref="E100" si="34">UPPER(TEXT(E101,"dddd"))</f>
        <v>JUEVES</v>
      </c>
      <c r="F100" s="7" t="str">
        <f t="shared" ref="F100" si="35">UPPER(TEXT(F101,"dddd"))</f>
        <v>VIERNES</v>
      </c>
      <c r="G100" s="8" t="str">
        <f t="shared" ref="G100" si="36">UPPER(TEXT(G101,"dddd"))</f>
        <v>SÁBADO</v>
      </c>
      <c r="H100" s="7" t="str">
        <f t="shared" ref="H100" si="37">UPPER(TEXT(H101,"dddd"))</f>
        <v>DOMINGO</v>
      </c>
    </row>
    <row r="101" spans="1:8" ht="16.5" customHeight="1" x14ac:dyDescent="0.3">
      <c r="B101" s="4">
        <f t="array" ref="B101:H101">Días+1+DATE(Calendario8Año,Calendario8MesOpción,1)-WEEKDAY(DATE(Calendario8Año,Calendario8MesOpción,1),DíaDeLaSemanaOpción)</f>
        <v>43675</v>
      </c>
      <c r="C101" s="4">
        <v>43676</v>
      </c>
      <c r="D101" s="4">
        <v>43677</v>
      </c>
      <c r="E101" s="4">
        <v>43678</v>
      </c>
      <c r="F101" s="4">
        <v>43679</v>
      </c>
      <c r="G101" s="4">
        <v>43680</v>
      </c>
      <c r="H101" s="5">
        <v>43681</v>
      </c>
    </row>
    <row r="102" spans="1:8" ht="56.25" customHeight="1" x14ac:dyDescent="0.3">
      <c r="B102" s="10"/>
      <c r="C102" s="10"/>
      <c r="D102" s="10"/>
      <c r="E102" s="10"/>
      <c r="F102" s="10"/>
      <c r="G102" s="10"/>
      <c r="H102" s="11"/>
    </row>
    <row r="103" spans="1:8" ht="16.5" customHeight="1" x14ac:dyDescent="0.3">
      <c r="B103" s="4">
        <f t="array" ref="B103:H103">Días+8+DATE(Calendario8Año,Calendario8MesOpción,1)-WEEKDAY(DATE(Calendario8Año,Calendario8MesOpción,1),DíaDeLaSemanaOpción)</f>
        <v>43682</v>
      </c>
      <c r="C103" s="4">
        <v>43683</v>
      </c>
      <c r="D103" s="4">
        <v>43684</v>
      </c>
      <c r="E103" s="4">
        <v>43685</v>
      </c>
      <c r="F103" s="4">
        <v>43686</v>
      </c>
      <c r="G103" s="4">
        <v>43687</v>
      </c>
      <c r="H103" s="5">
        <v>43688</v>
      </c>
    </row>
    <row r="104" spans="1:8" ht="56.25" customHeight="1" x14ac:dyDescent="0.3">
      <c r="B104" s="10"/>
      <c r="C104" s="10"/>
      <c r="D104" s="10"/>
      <c r="E104" s="10"/>
      <c r="F104" s="10"/>
      <c r="G104" s="10"/>
      <c r="H104" s="11"/>
    </row>
    <row r="105" spans="1:8" ht="16.5" customHeight="1" x14ac:dyDescent="0.3">
      <c r="B105" s="4">
        <f t="array" ref="B105:H105">Días+15+DATE(Calendario8Año,Calendario8MesOpción,1)-WEEKDAY(DATE(Calendario8Año,Calendario8MesOpción,1),DíaDeLaSemanaOpción)</f>
        <v>43689</v>
      </c>
      <c r="C105" s="4">
        <v>43690</v>
      </c>
      <c r="D105" s="4">
        <v>43691</v>
      </c>
      <c r="E105" s="4">
        <v>43692</v>
      </c>
      <c r="F105" s="4">
        <v>43693</v>
      </c>
      <c r="G105" s="4">
        <v>43694</v>
      </c>
      <c r="H105" s="5">
        <v>43695</v>
      </c>
    </row>
    <row r="106" spans="1:8" ht="56.25" customHeight="1" x14ac:dyDescent="0.3">
      <c r="B106" s="10"/>
      <c r="C106" s="10"/>
      <c r="D106" s="10"/>
      <c r="E106" s="10"/>
      <c r="F106" s="10"/>
      <c r="G106" s="10"/>
      <c r="H106" s="11"/>
    </row>
    <row r="107" spans="1:8" ht="16.5" customHeight="1" x14ac:dyDescent="0.3">
      <c r="B107" s="4">
        <f t="array" ref="B107:H107">Días+22+DATE(Calendario8Año,Calendario8MesOpción,1)-WEEKDAY(DATE(Calendario8Año,Calendario8MesOpción,1),DíaDeLaSemanaOpción)</f>
        <v>43696</v>
      </c>
      <c r="C107" s="4">
        <v>43697</v>
      </c>
      <c r="D107" s="4">
        <v>43698</v>
      </c>
      <c r="E107" s="4">
        <v>43699</v>
      </c>
      <c r="F107" s="4">
        <v>43700</v>
      </c>
      <c r="G107" s="4">
        <v>43701</v>
      </c>
      <c r="H107" s="5">
        <v>43702</v>
      </c>
    </row>
    <row r="108" spans="1:8" ht="56.25" customHeight="1" x14ac:dyDescent="0.3">
      <c r="B108" s="10"/>
      <c r="C108" s="10"/>
      <c r="D108" s="10"/>
      <c r="E108" s="10"/>
      <c r="F108" s="10"/>
      <c r="G108" s="10"/>
      <c r="H108" s="11"/>
    </row>
    <row r="109" spans="1:8" ht="16.5" customHeight="1" x14ac:dyDescent="0.3">
      <c r="B109" s="4">
        <f t="array" ref="B109:H109">Días+29+DATE(Calendario8Año,Calendario8MesOpción,1)-WEEKDAY(DATE(Calendario8Año,Calendario8MesOpción,1),DíaDeLaSemanaOpción)</f>
        <v>43703</v>
      </c>
      <c r="C109" s="4">
        <v>43704</v>
      </c>
      <c r="D109" s="4">
        <v>43705</v>
      </c>
      <c r="E109" s="4">
        <v>43706</v>
      </c>
      <c r="F109" s="4">
        <v>43707</v>
      </c>
      <c r="G109" s="4">
        <v>43708</v>
      </c>
      <c r="H109" s="5">
        <v>43709</v>
      </c>
    </row>
    <row r="110" spans="1:8" ht="57" customHeight="1" x14ac:dyDescent="0.3">
      <c r="B110" s="10"/>
      <c r="C110" s="10"/>
      <c r="D110" s="10"/>
      <c r="E110" s="10"/>
      <c r="F110" s="10"/>
      <c r="G110" s="10"/>
      <c r="H110" s="12"/>
    </row>
    <row r="111" spans="1:8" ht="16.5" customHeight="1" x14ac:dyDescent="0.3">
      <c r="B111" s="4">
        <f t="array" ref="B111:C111">Días+36+DATE(Calendario8Año,Calendario8MesOpción,1)-WEEKDAY(DATE(Calendario8Año,Calendario8MesOpción,1),DíaDeLaSemanaOpción)</f>
        <v>43710</v>
      </c>
      <c r="C111" s="4">
        <v>43711</v>
      </c>
      <c r="D111" s="62" t="s">
        <v>1</v>
      </c>
      <c r="E111" s="63"/>
      <c r="F111" s="63"/>
      <c r="G111" s="63"/>
      <c r="H111" s="63"/>
    </row>
    <row r="112" spans="1:8" ht="63.75" customHeight="1" x14ac:dyDescent="0.3">
      <c r="B112" s="10"/>
      <c r="C112" s="10"/>
      <c r="D112" s="64"/>
      <c r="E112" s="64"/>
      <c r="F112" s="64"/>
      <c r="G112" s="64"/>
      <c r="H112" s="64"/>
    </row>
    <row r="113" spans="1:8" ht="54" customHeight="1" x14ac:dyDescent="0.7">
      <c r="A113" s="2"/>
      <c r="B113" s="1">
        <f>YEAR(DATE(Calendario8Año,Calendario8MesOpción+1,1))</f>
        <v>2019</v>
      </c>
      <c r="C113" s="6" t="str">
        <f>TEXT(DATE(Calendario8Año,Calendario8MesOpción+1,1),"mmmm")</f>
        <v>septiembre</v>
      </c>
      <c r="D113" s="9"/>
      <c r="E113" s="9"/>
      <c r="F113" s="9"/>
      <c r="G113" s="9"/>
      <c r="H113" s="2"/>
    </row>
    <row r="114" spans="1:8" ht="14.25" customHeight="1" x14ac:dyDescent="0.3">
      <c r="A114" s="3"/>
      <c r="B114" s="7" t="str">
        <f>UPPER(TEXT(B115,"dddd"))</f>
        <v>LUNES</v>
      </c>
      <c r="C114" s="8" t="str">
        <f t="shared" ref="C114" si="38">UPPER(TEXT(C115,"dddd"))</f>
        <v>MARTES</v>
      </c>
      <c r="D114" s="7" t="str">
        <f t="shared" ref="D114" si="39">UPPER(TEXT(D115,"dddd"))</f>
        <v>MIÉRCOLES</v>
      </c>
      <c r="E114" s="8" t="str">
        <f t="shared" ref="E114" si="40">UPPER(TEXT(E115,"dddd"))</f>
        <v>JUEVES</v>
      </c>
      <c r="F114" s="7" t="str">
        <f t="shared" ref="F114" si="41">UPPER(TEXT(F115,"dddd"))</f>
        <v>VIERNES</v>
      </c>
      <c r="G114" s="8" t="str">
        <f t="shared" ref="G114" si="42">UPPER(TEXT(G115,"dddd"))</f>
        <v>SÁBADO</v>
      </c>
      <c r="H114" s="7" t="str">
        <f t="shared" ref="H114" si="43">UPPER(TEXT(H115,"dddd"))</f>
        <v>DOMINGO</v>
      </c>
    </row>
    <row r="115" spans="1:8" ht="16.5" customHeight="1" x14ac:dyDescent="0.3">
      <c r="B115" s="4">
        <f t="array" ref="B115:H115">Días+1+DATE(Calendario9Año,Calendario9MesOpción,1)-WEEKDAY(DATE(Calendario9Año,Calendario9MesOpción,1),DíaDeLaSemanaOpción)</f>
        <v>43703</v>
      </c>
      <c r="C115" s="4">
        <v>43704</v>
      </c>
      <c r="D115" s="4">
        <v>43705</v>
      </c>
      <c r="E115" s="4">
        <v>43706</v>
      </c>
      <c r="F115" s="4">
        <v>43707</v>
      </c>
      <c r="G115" s="4">
        <v>43708</v>
      </c>
      <c r="H115" s="5">
        <v>43709</v>
      </c>
    </row>
    <row r="116" spans="1:8" ht="56.25" customHeight="1" x14ac:dyDescent="0.3">
      <c r="B116" s="10"/>
      <c r="C116" s="10"/>
      <c r="D116" s="10"/>
      <c r="E116" s="10"/>
      <c r="F116" s="10"/>
      <c r="G116" s="10"/>
      <c r="H116" s="11"/>
    </row>
    <row r="117" spans="1:8" ht="16.5" customHeight="1" x14ac:dyDescent="0.3">
      <c r="B117" s="4">
        <f t="array" ref="B117:H117">Días+8+DATE(Calendario9Año,Calendario9MesOpción,1)-WEEKDAY(DATE(Calendario9Año,Calendario9MesOpción,1),DíaDeLaSemanaOpción)</f>
        <v>43710</v>
      </c>
      <c r="C117" s="4">
        <v>43711</v>
      </c>
      <c r="D117" s="4">
        <v>43712</v>
      </c>
      <c r="E117" s="4">
        <v>43713</v>
      </c>
      <c r="F117" s="4">
        <v>43714</v>
      </c>
      <c r="G117" s="4">
        <v>43715</v>
      </c>
      <c r="H117" s="5">
        <v>43716</v>
      </c>
    </row>
    <row r="118" spans="1:8" ht="56.25" customHeight="1" x14ac:dyDescent="0.3">
      <c r="B118" s="10"/>
      <c r="C118" s="10"/>
      <c r="D118" s="10"/>
      <c r="E118" s="10"/>
      <c r="F118" s="10"/>
      <c r="G118" s="10"/>
      <c r="H118" s="11"/>
    </row>
    <row r="119" spans="1:8" ht="16.5" customHeight="1" x14ac:dyDescent="0.3">
      <c r="B119" s="4">
        <f t="array" ref="B119:H119">Días+15+DATE(Calendario9Año,Calendario9MesOpción,1)-WEEKDAY(DATE(Calendario9Año,Calendario9MesOpción,1),DíaDeLaSemanaOpción)</f>
        <v>43717</v>
      </c>
      <c r="C119" s="4">
        <v>43718</v>
      </c>
      <c r="D119" s="4">
        <v>43719</v>
      </c>
      <c r="E119" s="4">
        <v>43720</v>
      </c>
      <c r="F119" s="4">
        <v>43721</v>
      </c>
      <c r="G119" s="4">
        <v>43722</v>
      </c>
      <c r="H119" s="5">
        <v>43723</v>
      </c>
    </row>
    <row r="120" spans="1:8" ht="56.25" customHeight="1" x14ac:dyDescent="0.3">
      <c r="B120" s="10"/>
      <c r="C120" s="10"/>
      <c r="D120" s="10"/>
      <c r="E120" s="10"/>
      <c r="F120" s="10"/>
      <c r="G120" s="10"/>
      <c r="H120" s="11"/>
    </row>
    <row r="121" spans="1:8" ht="16.5" customHeight="1" x14ac:dyDescent="0.3">
      <c r="B121" s="4">
        <f t="array" ref="B121:H121">Días+22+DATE(Calendario9Año,Calendario9MesOpción,1)-WEEKDAY(DATE(Calendario9Año,Calendario9MesOpción,1),DíaDeLaSemanaOpción)</f>
        <v>43724</v>
      </c>
      <c r="C121" s="4">
        <v>43725</v>
      </c>
      <c r="D121" s="4">
        <v>43726</v>
      </c>
      <c r="E121" s="4">
        <v>43727</v>
      </c>
      <c r="F121" s="4">
        <v>43728</v>
      </c>
      <c r="G121" s="4">
        <v>43729</v>
      </c>
      <c r="H121" s="5">
        <v>43730</v>
      </c>
    </row>
    <row r="122" spans="1:8" ht="56.25" customHeight="1" x14ac:dyDescent="0.3">
      <c r="B122" s="10"/>
      <c r="C122" s="10"/>
      <c r="D122" s="10"/>
      <c r="E122" s="10"/>
      <c r="F122" s="10"/>
      <c r="G122" s="10"/>
      <c r="H122" s="11"/>
    </row>
    <row r="123" spans="1:8" ht="16.5" customHeight="1" x14ac:dyDescent="0.3">
      <c r="B123" s="4">
        <f t="array" ref="B123:H123">Días+29+DATE(Calendario9Año,Calendario9MesOpción,1)-WEEKDAY(DATE(Calendario9Año,Calendario9MesOpción,1),DíaDeLaSemanaOpción)</f>
        <v>43731</v>
      </c>
      <c r="C123" s="4">
        <v>43732</v>
      </c>
      <c r="D123" s="4">
        <v>43733</v>
      </c>
      <c r="E123" s="4">
        <v>43734</v>
      </c>
      <c r="F123" s="4">
        <v>43735</v>
      </c>
      <c r="G123" s="4">
        <v>43736</v>
      </c>
      <c r="H123" s="5">
        <v>43737</v>
      </c>
    </row>
    <row r="124" spans="1:8" ht="57" customHeight="1" x14ac:dyDescent="0.3">
      <c r="B124" s="10"/>
      <c r="C124" s="10"/>
      <c r="D124" s="10"/>
      <c r="E124" s="10"/>
      <c r="F124" s="10"/>
      <c r="G124" s="10"/>
      <c r="H124" s="12"/>
    </row>
    <row r="125" spans="1:8" ht="16.5" customHeight="1" x14ac:dyDescent="0.3">
      <c r="B125" s="4">
        <f t="array" ref="B125:C125">Días+36+DATE(Calendario9Año,Calendario9MesOpción,1)-WEEKDAY(DATE(Calendario9Año,Calendario9MesOpción,1),DíaDeLaSemanaOpción)</f>
        <v>43738</v>
      </c>
      <c r="C125" s="4">
        <v>43739</v>
      </c>
      <c r="D125" s="62" t="s">
        <v>1</v>
      </c>
      <c r="E125" s="63"/>
      <c r="F125" s="63"/>
      <c r="G125" s="63"/>
      <c r="H125" s="63"/>
    </row>
    <row r="126" spans="1:8" ht="63.75" customHeight="1" x14ac:dyDescent="0.3">
      <c r="B126" s="10"/>
      <c r="C126" s="10"/>
      <c r="D126" s="64"/>
      <c r="E126" s="64"/>
      <c r="F126" s="64"/>
      <c r="G126" s="64"/>
      <c r="H126" s="64"/>
    </row>
    <row r="127" spans="1:8" ht="54" customHeight="1" x14ac:dyDescent="0.7">
      <c r="A127" s="2"/>
      <c r="B127" s="1">
        <f>YEAR(DATE(Calendario9Año,Calendario9MesOpción+1,1))</f>
        <v>2019</v>
      </c>
      <c r="C127" s="6" t="str">
        <f>TEXT(DATE(Calendario9Año,Calendario9MesOpción+1,1),"mmmm")</f>
        <v>octubre</v>
      </c>
      <c r="D127" s="9"/>
      <c r="E127" s="9"/>
      <c r="F127" s="9"/>
      <c r="G127" s="9"/>
      <c r="H127" s="2"/>
    </row>
    <row r="128" spans="1:8" ht="14.25" customHeight="1" x14ac:dyDescent="0.3">
      <c r="A128" s="3"/>
      <c r="B128" s="7" t="str">
        <f>UPPER(TEXT(B129,"dddd"))</f>
        <v>LUNES</v>
      </c>
      <c r="C128" s="8" t="str">
        <f t="shared" ref="C128:H128" si="44">UPPER(TEXT(C129,"dddd"))</f>
        <v>MARTES</v>
      </c>
      <c r="D128" s="7" t="str">
        <f t="shared" si="44"/>
        <v>MIÉRCOLES</v>
      </c>
      <c r="E128" s="8" t="str">
        <f t="shared" si="44"/>
        <v>JUEVES</v>
      </c>
      <c r="F128" s="7" t="str">
        <f t="shared" si="44"/>
        <v>VIERNES</v>
      </c>
      <c r="G128" s="8" t="str">
        <f t="shared" si="44"/>
        <v>SÁBADO</v>
      </c>
      <c r="H128" s="7" t="str">
        <f t="shared" si="44"/>
        <v>DOMINGO</v>
      </c>
    </row>
    <row r="129" spans="2:8" ht="16.5" customHeight="1" x14ac:dyDescent="0.3">
      <c r="B129" s="4">
        <f t="array" ref="B129:H129">Días+1+DATE(Calendario10Año,Calendario10MesOpción,1)-WEEKDAY(DATE(Calendario10Año,Calendario10MesOpción,1),DíaDeLaSemanaOpción)</f>
        <v>43738</v>
      </c>
      <c r="C129" s="4">
        <v>43739</v>
      </c>
      <c r="D129" s="4">
        <v>43740</v>
      </c>
      <c r="E129" s="4">
        <v>43741</v>
      </c>
      <c r="F129" s="4">
        <v>43742</v>
      </c>
      <c r="G129" s="4">
        <v>43743</v>
      </c>
      <c r="H129" s="5">
        <v>43744</v>
      </c>
    </row>
    <row r="130" spans="2:8" ht="56.25" customHeight="1" x14ac:dyDescent="0.3">
      <c r="B130" s="10"/>
      <c r="C130" s="10"/>
      <c r="D130" s="10"/>
      <c r="E130" s="10"/>
      <c r="F130" s="10"/>
      <c r="G130" s="10"/>
      <c r="H130" s="11"/>
    </row>
    <row r="131" spans="2:8" ht="16.5" customHeight="1" x14ac:dyDescent="0.3">
      <c r="B131" s="4">
        <f t="array" ref="B131:H131">Días+8+DATE(Calendario10Año,Calendario10MesOpción,1)-WEEKDAY(DATE(Calendario10Año,Calendario10MesOpción,1),DíaDeLaSemanaOpción)</f>
        <v>43745</v>
      </c>
      <c r="C131" s="4">
        <v>43746</v>
      </c>
      <c r="D131" s="4">
        <v>43747</v>
      </c>
      <c r="E131" s="4">
        <v>43748</v>
      </c>
      <c r="F131" s="4">
        <v>43749</v>
      </c>
      <c r="G131" s="4">
        <v>43750</v>
      </c>
      <c r="H131" s="5">
        <v>43751</v>
      </c>
    </row>
    <row r="132" spans="2:8" ht="56.25" customHeight="1" x14ac:dyDescent="0.3">
      <c r="B132" s="10"/>
      <c r="C132" s="10"/>
      <c r="D132" s="10"/>
      <c r="E132" s="10"/>
      <c r="F132" s="10"/>
      <c r="G132" s="10"/>
      <c r="H132" s="11"/>
    </row>
    <row r="133" spans="2:8" ht="16.5" customHeight="1" x14ac:dyDescent="0.3">
      <c r="B133" s="4">
        <f t="array" ref="B133:H133">Días+15+DATE(Calendario10Año,Calendario10MesOpción,1)-WEEKDAY(DATE(Calendario10Año,Calendario10MesOpción,1),DíaDeLaSemanaOpción)</f>
        <v>43752</v>
      </c>
      <c r="C133" s="4">
        <v>43753</v>
      </c>
      <c r="D133" s="4">
        <v>43754</v>
      </c>
      <c r="E133" s="4">
        <v>43755</v>
      </c>
      <c r="F133" s="4">
        <v>43756</v>
      </c>
      <c r="G133" s="4">
        <v>43757</v>
      </c>
      <c r="H133" s="5">
        <v>43758</v>
      </c>
    </row>
    <row r="134" spans="2:8" ht="56.25" customHeight="1" x14ac:dyDescent="0.3">
      <c r="B134" s="10"/>
      <c r="C134" s="10"/>
      <c r="D134" s="10"/>
      <c r="E134" s="10"/>
      <c r="F134" s="10"/>
      <c r="G134" s="10"/>
      <c r="H134" s="11"/>
    </row>
    <row r="135" spans="2:8" ht="16.5" customHeight="1" x14ac:dyDescent="0.3">
      <c r="B135" s="4">
        <f t="array" ref="B135:H135">Días+22+DATE(Calendario10Año,Calendario10MesOpción,1)-WEEKDAY(DATE(Calendario10Año,Calendario10MesOpción,1),DíaDeLaSemanaOpción)</f>
        <v>43759</v>
      </c>
      <c r="C135" s="4">
        <v>43760</v>
      </c>
      <c r="D135" s="4">
        <v>43761</v>
      </c>
      <c r="E135" s="4">
        <v>43762</v>
      </c>
      <c r="F135" s="4">
        <v>43763</v>
      </c>
      <c r="G135" s="4">
        <v>43764</v>
      </c>
      <c r="H135" s="5">
        <v>43765</v>
      </c>
    </row>
    <row r="136" spans="2:8" ht="56.25" customHeight="1" x14ac:dyDescent="0.3">
      <c r="B136" s="10"/>
      <c r="C136" s="10"/>
      <c r="D136" s="10"/>
      <c r="E136" s="10"/>
      <c r="F136" s="10"/>
      <c r="G136" s="10"/>
      <c r="H136" s="11"/>
    </row>
    <row r="137" spans="2:8" ht="16.5" customHeight="1" x14ac:dyDescent="0.3">
      <c r="B137" s="4">
        <f t="array" ref="B137:H137">Días+29+DATE(Calendario10Año,Calendario10MesOpción,1)-WEEKDAY(DATE(Calendario10Año,Calendario10MesOpción,1),DíaDeLaSemanaOpción)</f>
        <v>43766</v>
      </c>
      <c r="C137" s="4">
        <v>43767</v>
      </c>
      <c r="D137" s="4">
        <v>43768</v>
      </c>
      <c r="E137" s="4">
        <v>43769</v>
      </c>
      <c r="F137" s="4">
        <v>43770</v>
      </c>
      <c r="G137" s="4">
        <v>43771</v>
      </c>
      <c r="H137" s="5">
        <v>43772</v>
      </c>
    </row>
    <row r="138" spans="2:8" ht="57" customHeight="1" x14ac:dyDescent="0.3">
      <c r="B138" s="10"/>
      <c r="C138" s="10"/>
      <c r="D138" s="10"/>
      <c r="E138" s="10"/>
      <c r="F138" s="10"/>
      <c r="G138" s="10"/>
      <c r="H138" s="12"/>
    </row>
    <row r="139" spans="2:8" ht="16.5" customHeight="1" x14ac:dyDescent="0.3">
      <c r="B139" s="4">
        <f t="array" ref="B139:C139">Días+36+DATE(Calendario10Año,Calendario10MesOpción,1)-WEEKDAY(DATE(Calendario10Año,Calendario10MesOpción,1),DíaDeLaSemanaOpción)</f>
        <v>43773</v>
      </c>
      <c r="C139" s="4">
        <v>43774</v>
      </c>
      <c r="D139" s="62" t="s">
        <v>1</v>
      </c>
      <c r="E139" s="63"/>
      <c r="F139" s="63"/>
      <c r="G139" s="63"/>
      <c r="H139" s="63"/>
    </row>
    <row r="140" spans="2:8" ht="63.75" customHeight="1" x14ac:dyDescent="0.3">
      <c r="B140" s="10"/>
      <c r="C140" s="10"/>
      <c r="D140" s="64"/>
      <c r="E140" s="64"/>
      <c r="F140" s="64"/>
      <c r="G140" s="64"/>
      <c r="H140" s="64"/>
    </row>
    <row r="141" spans="2:8" ht="54" customHeight="1" x14ac:dyDescent="0.7">
      <c r="B141" s="1">
        <f>YEAR(DATE(Calendario10Año,Calendario10MesOpción+1,1))</f>
        <v>2019</v>
      </c>
      <c r="C141" s="6" t="str">
        <f>TEXT(DATE(Calendario10Año,Calendario10MesOpción+1,1),"mmmm")</f>
        <v>noviembre</v>
      </c>
      <c r="D141" s="9"/>
      <c r="E141" s="9"/>
      <c r="F141" s="9"/>
      <c r="G141" s="9"/>
      <c r="H141" s="2"/>
    </row>
    <row r="142" spans="2:8" ht="14.25" customHeight="1" x14ac:dyDescent="0.3">
      <c r="B142" s="7" t="str">
        <f>UPPER(TEXT(B143,"dddd"))</f>
        <v>LUNES</v>
      </c>
      <c r="C142" s="8" t="str">
        <f t="shared" ref="C142:H142" si="45">UPPER(TEXT(C143,"dddd"))</f>
        <v>MARTES</v>
      </c>
      <c r="D142" s="7" t="str">
        <f t="shared" si="45"/>
        <v>MIÉRCOLES</v>
      </c>
      <c r="E142" s="8" t="str">
        <f t="shared" si="45"/>
        <v>JUEVES</v>
      </c>
      <c r="F142" s="7" t="str">
        <f t="shared" si="45"/>
        <v>VIERNES</v>
      </c>
      <c r="G142" s="8" t="str">
        <f t="shared" si="45"/>
        <v>SÁBADO</v>
      </c>
      <c r="H142" s="7" t="str">
        <f t="shared" si="45"/>
        <v>DOMINGO</v>
      </c>
    </row>
    <row r="143" spans="2:8" ht="16.5" customHeight="1" x14ac:dyDescent="0.3">
      <c r="B143" s="4">
        <f t="array" ref="B143:H143">Días+1+DATE(Calendario11Año,Calendario11MesOpción,1)-WEEKDAY(DATE(Calendario11Año,Calendario11MesOpción,1),DíaDeLaSemanaOpción)</f>
        <v>43766</v>
      </c>
      <c r="C143" s="4">
        <v>43767</v>
      </c>
      <c r="D143" s="4">
        <v>43768</v>
      </c>
      <c r="E143" s="4">
        <v>43769</v>
      </c>
      <c r="F143" s="4">
        <v>43770</v>
      </c>
      <c r="G143" s="4">
        <v>43771</v>
      </c>
      <c r="H143" s="5">
        <v>43772</v>
      </c>
    </row>
    <row r="144" spans="2:8" ht="56.25" customHeight="1" x14ac:dyDescent="0.3">
      <c r="B144" s="10"/>
      <c r="C144" s="10"/>
      <c r="D144" s="10"/>
      <c r="E144" s="10"/>
      <c r="F144" s="10"/>
      <c r="G144" s="10"/>
      <c r="H144" s="11"/>
    </row>
    <row r="145" spans="2:8" ht="16.5" customHeight="1" x14ac:dyDescent="0.3">
      <c r="B145" s="4">
        <f t="array" ref="B145:H145">Días+8+DATE(Calendario11Año,Calendario11MesOpción,1)-WEEKDAY(DATE(Calendario11Año,Calendario11MesOpción,1),DíaDeLaSemanaOpción)</f>
        <v>43773</v>
      </c>
      <c r="C145" s="4">
        <v>43774</v>
      </c>
      <c r="D145" s="4">
        <v>43775</v>
      </c>
      <c r="E145" s="4">
        <v>43776</v>
      </c>
      <c r="F145" s="4">
        <v>43777</v>
      </c>
      <c r="G145" s="4">
        <v>43778</v>
      </c>
      <c r="H145" s="5">
        <v>43779</v>
      </c>
    </row>
    <row r="146" spans="2:8" ht="56.25" customHeight="1" x14ac:dyDescent="0.3">
      <c r="B146" s="10"/>
      <c r="C146" s="10"/>
      <c r="D146" s="10"/>
      <c r="E146" s="10"/>
      <c r="F146" s="10"/>
      <c r="G146" s="10"/>
      <c r="H146" s="11"/>
    </row>
    <row r="147" spans="2:8" ht="16.5" customHeight="1" x14ac:dyDescent="0.3">
      <c r="B147" s="4">
        <f t="array" ref="B147:H147">Días+15+DATE(Calendario11Año,Calendario11MesOpción,1)-WEEKDAY(DATE(Calendario11Año,Calendario11MesOpción,1),DíaDeLaSemanaOpción)</f>
        <v>43780</v>
      </c>
      <c r="C147" s="4">
        <v>43781</v>
      </c>
      <c r="D147" s="4">
        <v>43782</v>
      </c>
      <c r="E147" s="4">
        <v>43783</v>
      </c>
      <c r="F147" s="4">
        <v>43784</v>
      </c>
      <c r="G147" s="4">
        <v>43785</v>
      </c>
      <c r="H147" s="5">
        <v>43786</v>
      </c>
    </row>
    <row r="148" spans="2:8" ht="56.25" customHeight="1" x14ac:dyDescent="0.3">
      <c r="B148" s="10"/>
      <c r="C148" s="10"/>
      <c r="D148" s="10"/>
      <c r="E148" s="10"/>
      <c r="F148" s="10"/>
      <c r="G148" s="10"/>
      <c r="H148" s="11"/>
    </row>
    <row r="149" spans="2:8" ht="16.5" customHeight="1" x14ac:dyDescent="0.3">
      <c r="B149" s="4">
        <f t="array" ref="B149:H149">Días+22+DATE(Calendario11Año,Calendario11MesOpción,1)-WEEKDAY(DATE(Calendario11Año,Calendario11MesOpción,1),DíaDeLaSemanaOpción)</f>
        <v>43787</v>
      </c>
      <c r="C149" s="4">
        <v>43788</v>
      </c>
      <c r="D149" s="4">
        <v>43789</v>
      </c>
      <c r="E149" s="4">
        <v>43790</v>
      </c>
      <c r="F149" s="4">
        <v>43791</v>
      </c>
      <c r="G149" s="4">
        <v>43792</v>
      </c>
      <c r="H149" s="5">
        <v>43793</v>
      </c>
    </row>
    <row r="150" spans="2:8" ht="56.25" customHeight="1" x14ac:dyDescent="0.3">
      <c r="B150" s="10"/>
      <c r="C150" s="10"/>
      <c r="D150" s="10"/>
      <c r="E150" s="10"/>
      <c r="F150" s="10"/>
      <c r="G150" s="10"/>
      <c r="H150" s="11"/>
    </row>
    <row r="151" spans="2:8" ht="16.5" customHeight="1" x14ac:dyDescent="0.3">
      <c r="B151" s="4">
        <f t="array" ref="B151:H151">Días+29+DATE(Calendario11Año,Calendario11MesOpción,1)-WEEKDAY(DATE(Calendario11Año,Calendario11MesOpción,1),DíaDeLaSemanaOpción)</f>
        <v>43794</v>
      </c>
      <c r="C151" s="4">
        <v>43795</v>
      </c>
      <c r="D151" s="4">
        <v>43796</v>
      </c>
      <c r="E151" s="4">
        <v>43797</v>
      </c>
      <c r="F151" s="4">
        <v>43798</v>
      </c>
      <c r="G151" s="4">
        <v>43799</v>
      </c>
      <c r="H151" s="5">
        <v>43800</v>
      </c>
    </row>
    <row r="152" spans="2:8" ht="57" customHeight="1" x14ac:dyDescent="0.3">
      <c r="B152" s="10"/>
      <c r="C152" s="10"/>
      <c r="D152" s="10"/>
      <c r="E152" s="10"/>
      <c r="F152" s="10"/>
      <c r="G152" s="10"/>
      <c r="H152" s="12"/>
    </row>
    <row r="153" spans="2:8" ht="16.5" customHeight="1" x14ac:dyDescent="0.3">
      <c r="B153" s="4">
        <f t="array" ref="B153:C153">Días+36+DATE(Calendario11Año,Calendario11MesOpción,1)-WEEKDAY(DATE(Calendario11Año,Calendario11MesOpción,1),DíaDeLaSemanaOpción)</f>
        <v>43801</v>
      </c>
      <c r="C153" s="4">
        <v>43802</v>
      </c>
      <c r="D153" s="62" t="s">
        <v>1</v>
      </c>
      <c r="E153" s="63"/>
      <c r="F153" s="63"/>
      <c r="G153" s="63"/>
      <c r="H153" s="63"/>
    </row>
    <row r="154" spans="2:8" ht="63.75" customHeight="1" x14ac:dyDescent="0.3">
      <c r="B154" s="10"/>
      <c r="C154" s="10"/>
      <c r="D154" s="64"/>
      <c r="E154" s="64"/>
      <c r="F154" s="64"/>
      <c r="G154" s="64"/>
      <c r="H154" s="64"/>
    </row>
    <row r="155" spans="2:8" ht="54" customHeight="1" x14ac:dyDescent="0.7">
      <c r="B155" s="1">
        <f>YEAR(DATE(Calendario11Año,Calendario11MesOpción+1,1))</f>
        <v>2019</v>
      </c>
      <c r="C155" s="6" t="str">
        <f>TEXT(DATE(Calendario11Año,Calendario11MesOpción+1,1),"mmmm")</f>
        <v>diciembre</v>
      </c>
      <c r="D155" s="9"/>
      <c r="E155" s="9"/>
      <c r="F155" s="9"/>
      <c r="G155" s="9"/>
      <c r="H155" s="2"/>
    </row>
    <row r="156" spans="2:8" ht="14.25" customHeight="1" x14ac:dyDescent="0.3">
      <c r="B156" s="7" t="str">
        <f>UPPER(TEXT(B157,"dddd"))</f>
        <v>LUNES</v>
      </c>
      <c r="C156" s="8" t="str">
        <f t="shared" ref="C156:H156" si="46">UPPER(TEXT(C157,"dddd"))</f>
        <v>MARTES</v>
      </c>
      <c r="D156" s="7" t="str">
        <f t="shared" si="46"/>
        <v>MIÉRCOLES</v>
      </c>
      <c r="E156" s="8" t="str">
        <f t="shared" si="46"/>
        <v>JUEVES</v>
      </c>
      <c r="F156" s="7" t="str">
        <f t="shared" si="46"/>
        <v>VIERNES</v>
      </c>
      <c r="G156" s="8" t="str">
        <f t="shared" si="46"/>
        <v>SÁBADO</v>
      </c>
      <c r="H156" s="7" t="str">
        <f t="shared" si="46"/>
        <v>DOMINGO</v>
      </c>
    </row>
    <row r="157" spans="2:8" ht="16.5" customHeight="1" x14ac:dyDescent="0.3">
      <c r="B157" s="4">
        <f t="array" ref="B157:H157">Días+1+DATE(Calendario12Año,Calendario12MesOpción,1)-WEEKDAY(DATE(Calendario12Año,Calendario12MesOpción,1),DíaDeLaSemanaOpción)</f>
        <v>43794</v>
      </c>
      <c r="C157" s="4">
        <v>43795</v>
      </c>
      <c r="D157" s="4">
        <v>43796</v>
      </c>
      <c r="E157" s="4">
        <v>43797</v>
      </c>
      <c r="F157" s="4">
        <v>43798</v>
      </c>
      <c r="G157" s="4">
        <v>43799</v>
      </c>
      <c r="H157" s="5">
        <v>43800</v>
      </c>
    </row>
    <row r="158" spans="2:8" ht="56.25" customHeight="1" x14ac:dyDescent="0.3">
      <c r="B158" s="10"/>
      <c r="C158" s="10"/>
      <c r="D158" s="10"/>
      <c r="E158" s="10"/>
      <c r="F158" s="10"/>
      <c r="G158" s="10"/>
      <c r="H158" s="11"/>
    </row>
    <row r="159" spans="2:8" ht="16.5" customHeight="1" x14ac:dyDescent="0.3">
      <c r="B159" s="4">
        <f t="array" ref="B159:H159">Días+8+DATE(Calendario12Año,Calendario12MesOpción,1)-WEEKDAY(DATE(Calendario12Año,Calendario12MesOpción,1),DíaDeLaSemanaOpción)</f>
        <v>43801</v>
      </c>
      <c r="C159" s="4">
        <v>43802</v>
      </c>
      <c r="D159" s="4">
        <v>43803</v>
      </c>
      <c r="E159" s="4">
        <v>43804</v>
      </c>
      <c r="F159" s="4">
        <v>43805</v>
      </c>
      <c r="G159" s="4">
        <v>43806</v>
      </c>
      <c r="H159" s="5">
        <v>43807</v>
      </c>
    </row>
    <row r="160" spans="2:8" ht="56.25" customHeight="1" x14ac:dyDescent="0.3">
      <c r="B160" s="10"/>
      <c r="C160" s="10"/>
      <c r="D160" s="10"/>
      <c r="E160" s="10"/>
      <c r="F160" s="10"/>
      <c r="G160" s="10"/>
      <c r="H160" s="11"/>
    </row>
    <row r="161" spans="2:8" ht="16.5" customHeight="1" x14ac:dyDescent="0.3">
      <c r="B161" s="4">
        <f t="array" ref="B161:H161">Días+15+DATE(Calendario12Año,Calendario12MesOpción,1)-WEEKDAY(DATE(Calendario12Año,Calendario12MesOpción,1),DíaDeLaSemanaOpción)</f>
        <v>43808</v>
      </c>
      <c r="C161" s="4">
        <v>43809</v>
      </c>
      <c r="D161" s="4">
        <v>43810</v>
      </c>
      <c r="E161" s="4">
        <v>43811</v>
      </c>
      <c r="F161" s="4">
        <v>43812</v>
      </c>
      <c r="G161" s="4">
        <v>43813</v>
      </c>
      <c r="H161" s="5">
        <v>43814</v>
      </c>
    </row>
    <row r="162" spans="2:8" ht="56.25" customHeight="1" x14ac:dyDescent="0.3">
      <c r="B162" s="10"/>
      <c r="C162" s="10"/>
      <c r="D162" s="10"/>
      <c r="E162" s="10"/>
      <c r="F162" s="10"/>
      <c r="G162" s="10"/>
      <c r="H162" s="11"/>
    </row>
    <row r="163" spans="2:8" ht="16.5" customHeight="1" x14ac:dyDescent="0.3">
      <c r="B163" s="4">
        <f t="array" ref="B163:H163">Días+22+DATE(Calendario12Año,Calendario12MesOpción,1)-WEEKDAY(DATE(Calendario12Año,Calendario12MesOpción,1),DíaDeLaSemanaOpción)</f>
        <v>43815</v>
      </c>
      <c r="C163" s="4">
        <v>43816</v>
      </c>
      <c r="D163" s="4">
        <v>43817</v>
      </c>
      <c r="E163" s="4">
        <v>43818</v>
      </c>
      <c r="F163" s="4">
        <v>43819</v>
      </c>
      <c r="G163" s="4">
        <v>43820</v>
      </c>
      <c r="H163" s="5">
        <v>43821</v>
      </c>
    </row>
    <row r="164" spans="2:8" ht="56.25" customHeight="1" x14ac:dyDescent="0.3">
      <c r="B164" s="10"/>
      <c r="C164" s="10"/>
      <c r="D164" s="10"/>
      <c r="E164" s="10"/>
      <c r="F164" s="10"/>
      <c r="G164" s="10"/>
      <c r="H164" s="11"/>
    </row>
    <row r="165" spans="2:8" ht="16.5" customHeight="1" x14ac:dyDescent="0.3">
      <c r="B165" s="4">
        <f t="array" ref="B165:H165">Días+29+DATE(Calendario12Año,Calendario12MesOpción,1)-WEEKDAY(DATE(Calendario12Año,Calendario12MesOpción,1),DíaDeLaSemanaOpción)</f>
        <v>43822</v>
      </c>
      <c r="C165" s="4">
        <v>43823</v>
      </c>
      <c r="D165" s="4">
        <v>43824</v>
      </c>
      <c r="E165" s="4">
        <v>43825</v>
      </c>
      <c r="F165" s="4">
        <v>43826</v>
      </c>
      <c r="G165" s="4">
        <v>43827</v>
      </c>
      <c r="H165" s="5">
        <v>43828</v>
      </c>
    </row>
    <row r="166" spans="2:8" ht="57" customHeight="1" x14ac:dyDescent="0.3">
      <c r="B166" s="10"/>
      <c r="C166" s="10"/>
      <c r="D166" s="10"/>
      <c r="E166" s="10"/>
      <c r="F166" s="10"/>
      <c r="G166" s="10"/>
      <c r="H166" s="12"/>
    </row>
    <row r="167" spans="2:8" ht="16.5" customHeight="1" x14ac:dyDescent="0.3">
      <c r="B167" s="4">
        <f t="array" ref="B167:C167">Días+36+DATE(Calendario12Año,Calendario12MesOpción,1)-WEEKDAY(DATE(Calendario12Año,Calendario12MesOpción,1),DíaDeLaSemanaOpción)</f>
        <v>43829</v>
      </c>
      <c r="C167" s="4">
        <v>43830</v>
      </c>
      <c r="D167" s="62" t="s">
        <v>1</v>
      </c>
      <c r="E167" s="63"/>
      <c r="F167" s="63"/>
      <c r="G167" s="63"/>
      <c r="H167" s="63"/>
    </row>
    <row r="168" spans="2:8" ht="63.75" customHeight="1" x14ac:dyDescent="0.3">
      <c r="B168" s="10"/>
      <c r="C168" s="10"/>
      <c r="D168" s="64"/>
      <c r="E168" s="64"/>
      <c r="F168" s="64"/>
      <c r="G168" s="64"/>
      <c r="H168" s="64"/>
    </row>
  </sheetData>
  <mergeCells count="24">
    <mergeCell ref="D70:H70"/>
    <mergeCell ref="D55:H55"/>
    <mergeCell ref="D69:H69"/>
    <mergeCell ref="D14:H14"/>
    <mergeCell ref="D13:H13"/>
    <mergeCell ref="D27:H27"/>
    <mergeCell ref="D28:H28"/>
    <mergeCell ref="D41:H41"/>
    <mergeCell ref="D42:H42"/>
    <mergeCell ref="D56:H56"/>
    <mergeCell ref="D83:H83"/>
    <mergeCell ref="D153:H153"/>
    <mergeCell ref="D168:H168"/>
    <mergeCell ref="D139:H139"/>
    <mergeCell ref="D140:H140"/>
    <mergeCell ref="D97:H97"/>
    <mergeCell ref="D84:H84"/>
    <mergeCell ref="D126:H126"/>
    <mergeCell ref="D111:H111"/>
    <mergeCell ref="D125:H125"/>
    <mergeCell ref="D98:H98"/>
    <mergeCell ref="D112:H112"/>
    <mergeCell ref="D154:H154"/>
    <mergeCell ref="D167:H167"/>
  </mergeCells>
  <phoneticPr fontId="3" type="noConversion"/>
  <conditionalFormatting sqref="B3:H3 B5:H5 B7:H7 B9:H9 B11:H11 B13:C13">
    <cfRule type="expression" dxfId="35" priority="38">
      <formula>MONTH(B3)&lt;&gt;Calendario1MesOpción</formula>
    </cfRule>
  </conditionalFormatting>
  <conditionalFormatting sqref="B17:H17 B19:H19 B21:H21 B23:H23 B25:H25 B27:C27">
    <cfRule type="expression" dxfId="34" priority="27">
      <formula>MONTH(B17)&lt;&gt;Calendario2MesOpción</formula>
    </cfRule>
  </conditionalFormatting>
  <conditionalFormatting sqref="B31:H31 B33:H33 B35:H35 B37:H37 B39:H39 B41:C41">
    <cfRule type="expression" dxfId="33" priority="25">
      <formula>MONTH(B31)&lt;&gt;Calendario3MesOpción</formula>
    </cfRule>
  </conditionalFormatting>
  <conditionalFormatting sqref="B45:H45 B47:H47 B49:H49 B51:H51 B53:H53 B55:C55">
    <cfRule type="expression" dxfId="32" priority="23">
      <formula>MONTH(B45)&lt;&gt;Calendario4MesOpción</formula>
    </cfRule>
  </conditionalFormatting>
  <conditionalFormatting sqref="B59:H59 B61:H61 B63:H63 B65:H65 B67:H67 B69:C69">
    <cfRule type="expression" dxfId="31" priority="21">
      <formula>MONTH(B59)&lt;&gt;Calendario5MesOpción</formula>
    </cfRule>
  </conditionalFormatting>
  <conditionalFormatting sqref="B73:H73 B75:H75 B77:H77 B79:H79 B81:H81 B83:C83">
    <cfRule type="expression" dxfId="30" priority="19">
      <formula>MONTH(B73)&lt;&gt;Calendario6MesOpción</formula>
    </cfRule>
  </conditionalFormatting>
  <conditionalFormatting sqref="B87:H87 B89:H89 B91:H91 B93:H93 B95:H95 B97:C97">
    <cfRule type="expression" dxfId="29" priority="17">
      <formula>MONTH(B87)&lt;&gt;Calendario7MesOpción</formula>
    </cfRule>
  </conditionalFormatting>
  <conditionalFormatting sqref="B101:H101 B103:H103 B105:H105 B107:H107 B109:H109 B111:C111">
    <cfRule type="expression" dxfId="28" priority="15">
      <formula>MONTH(B101)&lt;&gt;Calendario8MesOpción</formula>
    </cfRule>
  </conditionalFormatting>
  <conditionalFormatting sqref="B115:H115 B117:H117 B119:H119 B121:H121 B123:H123 B125:C125">
    <cfRule type="expression" dxfId="27" priority="13">
      <formula>MONTH(B115)&lt;&gt;Calendario9MesOpción</formula>
    </cfRule>
  </conditionalFormatting>
  <conditionalFormatting sqref="B129:H129 B131:H131 B133:H133 B135:H135 B137:H137 B139:C139">
    <cfRule type="expression" dxfId="26" priority="3">
      <formula>MONTH(B129)&lt;&gt;Calendario10MesOpción</formula>
    </cfRule>
  </conditionalFormatting>
  <conditionalFormatting sqref="B143:H143 B145:H145 B147:H147 B149:H149 B151:H151 B153:C153">
    <cfRule type="expression" dxfId="25" priority="2">
      <formula>MONTH(B143)&lt;&gt;Calendario11MesOpción</formula>
    </cfRule>
  </conditionalFormatting>
  <conditionalFormatting sqref="B157:H157 B159:H159 B161:H161 B163:H163 B165:H165 B167:C167">
    <cfRule type="expression" dxfId="24" priority="1">
      <formula>MONTH(B157)&lt;&gt;Calendario12MesOpción</formula>
    </cfRule>
  </conditionalFormatting>
  <dataValidations count="11">
    <dataValidation type="list" allowBlank="1" showInputMessage="1" showErrorMessage="1" error="Solo los días de la lista desplegable se pueden usar para los encabezados de día de la semana. Para seleccionar un día de la semana distinto, seleccione CANCELAR y, después, ALT+FLECHA ABAJO para elegirlo en la lista desplegable." prompt="Seleccione el día de la semana de inicio en la lista desplegable. Presione ALT+FLECHA ABAJO para abrir la lista desplegable y, después, presione ENTRAR para seleccionar un día. El calendario se actualizará automáticamente." sqref="B2" xr:uid="{00000000-0002-0000-0100-000000000000}">
      <formula1>"DOMINGO, LUNES, MARTES, MIÉRCOLES, JUEVES, VIERNES, SÁBADO"</formula1>
    </dataValidation>
    <dataValidation type="list" allowBlank="1" showInputMessage="1" showErrorMessage="1" error="Seleccione un mes de las entradas de la lista. Seleccione CANCELAR y, después, ALT+FLECHA ABAJO para elegirlo en la lista desplegable." prompt="Seleccione el mes de inicio del calendario de la lista desplegable. Presione ALT+FLECHA ABAJO para abrir la lista desplegable y, después, presione ENTRAR para elegir uno de los elementos." sqref="C1" xr:uid="{00000000-0002-0000-0100-000001000000}">
      <formula1>"enero, febrero, marzo, abril, mayo, junio, julio, agosto, septiembre, octubre, noviembre, diciembre"</formula1>
    </dataValidation>
    <dataValidation allowBlank="1" showInputMessage="1" prompt="Este libro es un calendario de 12 meses. Escriba el año de inicio en la celda B1 y, después, seleccione el mes de inicio en la celda C1. El calendario se actualizará automáticamente para los meses posteriores." sqref="A1" xr:uid="{00000000-0002-0000-0100-000002000000}"/>
    <dataValidation allowBlank="1" showInputMessage="1" showErrorMessage="1" prompt="Escriba el año para este calendario." sqref="B1" xr:uid="{00000000-0002-0000-0100-000003000000}"/>
    <dataValidation allowBlank="1" showInputMessage="1" prompt="El día de la semana se determinará automáticamente. Para cambiar los días de la semana, seleccione un nuevo día de la semana de inicio en la celda B2." sqref="C2:H2 B16" xr:uid="{00000000-0002-0000-0100-000004000000}"/>
    <dataValidation allowBlank="1" showInputMessage="1" prompt="Fecha" sqref="B3" xr:uid="{00000000-0002-0000-0100-000005000000}"/>
    <dataValidation allowBlank="1" showInputMessage="1" prompt="Escriba aquí las notas del mes." sqref="D14" xr:uid="{00000000-0002-0000-0100-000006000000}"/>
    <dataValidation allowBlank="1" showInputMessage="1" prompt="Título de notas del mes" sqref="D13" xr:uid="{00000000-0002-0000-0100-000007000000}"/>
    <dataValidation allowBlank="1" showInputMessage="1" prompt="Escriba aquí las notas del día." sqref="B4" xr:uid="{00000000-0002-0000-0100-000008000000}"/>
    <dataValidation allowBlank="1" showInputMessage="1" prompt="El año natural se determina automáticamente por el año especificado en la celda B1" sqref="B15" xr:uid="{00000000-0002-0000-0100-000009000000}"/>
    <dataValidation allowBlank="1" showInputMessage="1" prompt="Desplazamiento de mes natural según el mes seleccionado en la celda C1" sqref="C15" xr:uid="{00000000-0002-0000-0100-00000A000000}"/>
  </dataValidations>
  <printOptions horizontalCentered="1" verticalCentered="1"/>
  <pageMargins left="0.25" right="0.25" top="0.45" bottom="0.45" header="0.5" footer="0.5"/>
  <pageSetup paperSize="9" fitToHeight="0" orientation="landscape" r:id="rId1"/>
  <headerFooter alignWithMargins="0"/>
  <rowBreaks count="11" manualBreakCount="11">
    <brk id="14" min="1" max="8" man="1"/>
    <brk id="28" min="1" max="8" man="1"/>
    <brk id="42" min="1" max="8" man="1"/>
    <brk id="56" min="1" max="8" man="1"/>
    <brk id="70" min="1" max="8" man="1"/>
    <brk id="84" min="1" max="8" man="1"/>
    <brk id="98" min="1" max="8" man="1"/>
    <brk id="112" min="1" max="8" man="1"/>
    <brk id="126" min="1" max="8" man="1"/>
    <brk id="140" min="1" max="8" man="1"/>
    <brk id="154" min="1" max="8" man="1"/>
  </rowBreak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pageSetUpPr autoPageBreaks="0" fitToPage="1"/>
  </sheetPr>
  <dimension ref="A1:H168"/>
  <sheetViews>
    <sheetView showGridLines="0" zoomScaleNormal="100" workbookViewId="0">
      <selection activeCell="D1" sqref="D1"/>
    </sheetView>
  </sheetViews>
  <sheetFormatPr baseColWidth="10" defaultColWidth="8.75" defaultRowHeight="16.5" x14ac:dyDescent="0.3"/>
  <cols>
    <col min="1" max="1" width="2" customWidth="1"/>
    <col min="2" max="2" width="18.25" customWidth="1"/>
    <col min="3" max="8" width="17.625" customWidth="1"/>
    <col min="9" max="9" width="2.5" customWidth="1"/>
    <col min="14" max="14" width="6.75" customWidth="1"/>
  </cols>
  <sheetData>
    <row r="1" spans="1:8" ht="54" customHeight="1" x14ac:dyDescent="0.7">
      <c r="A1" s="2"/>
      <c r="B1" s="1">
        <v>2020</v>
      </c>
      <c r="C1" s="6" t="s">
        <v>54</v>
      </c>
      <c r="D1" s="2"/>
      <c r="E1" s="2"/>
      <c r="F1" s="2"/>
      <c r="G1" s="2"/>
      <c r="H1" s="2"/>
    </row>
    <row r="2" spans="1:8" ht="14.25" customHeight="1" x14ac:dyDescent="0.3">
      <c r="A2" s="3"/>
      <c r="B2" s="7" t="s">
        <v>0</v>
      </c>
      <c r="C2" s="8" t="str">
        <f>UPPER(TEXT(C3,"dddd"))</f>
        <v>MARTES</v>
      </c>
      <c r="D2" s="7" t="str">
        <f>UPPER(TEXT(D3,"dddd"))</f>
        <v>MIÉRCOLES</v>
      </c>
      <c r="E2" s="8" t="str">
        <f t="shared" ref="E2:H2" si="0">UPPER(TEXT(E3,"dddd"))</f>
        <v>JUEVES</v>
      </c>
      <c r="F2" s="7" t="str">
        <f t="shared" si="0"/>
        <v>VIERNES</v>
      </c>
      <c r="G2" s="8" t="str">
        <f t="shared" si="0"/>
        <v>SÁBADO</v>
      </c>
      <c r="H2" s="7" t="str">
        <f t="shared" si="0"/>
        <v>DOMINGO</v>
      </c>
    </row>
    <row r="3" spans="1:8" ht="16.5" customHeight="1" x14ac:dyDescent="0.3">
      <c r="B3" s="4">
        <f t="array" ref="B3:H3">Días+1+DATE(Calendario1Año,Calendario1MesOpción,1)-WEEKDAY(DATE(Calendario1Año,Calendario1MesOpción,1),DíaDeLaSemanaOpción)</f>
        <v>43829</v>
      </c>
      <c r="C3" s="4">
        <v>43830</v>
      </c>
      <c r="D3" s="4">
        <v>43831</v>
      </c>
      <c r="E3" s="4">
        <v>43832</v>
      </c>
      <c r="F3" s="4">
        <v>43833</v>
      </c>
      <c r="G3" s="4">
        <v>43834</v>
      </c>
      <c r="H3" s="5">
        <v>43835</v>
      </c>
    </row>
    <row r="4" spans="1:8" ht="56.25" customHeight="1" x14ac:dyDescent="0.3">
      <c r="B4" s="10"/>
      <c r="C4" s="10"/>
      <c r="D4" s="13" t="s">
        <v>3</v>
      </c>
      <c r="E4" s="10"/>
      <c r="F4" s="13" t="s">
        <v>3</v>
      </c>
      <c r="G4" s="10"/>
      <c r="H4" s="11"/>
    </row>
    <row r="5" spans="1:8" ht="16.5" customHeight="1" x14ac:dyDescent="0.3">
      <c r="B5" s="4">
        <f t="array" ref="B5:H5">Días+8+DATE(Calendario1Año,Calendario1MesOpción,1)-WEEKDAY(DATE(Calendario1Año,Calendario1MesOpción,1),DíaDeLaSemanaOpción)</f>
        <v>43836</v>
      </c>
      <c r="C5" s="4">
        <v>43837</v>
      </c>
      <c r="D5" s="4">
        <v>43838</v>
      </c>
      <c r="E5" s="4">
        <v>43839</v>
      </c>
      <c r="F5" s="4">
        <v>43840</v>
      </c>
      <c r="G5" s="4">
        <v>43841</v>
      </c>
      <c r="H5" s="5">
        <v>43842</v>
      </c>
    </row>
    <row r="6" spans="1:8" ht="56.25" customHeight="1" x14ac:dyDescent="0.3">
      <c r="B6" s="13" t="s">
        <v>3</v>
      </c>
      <c r="C6" s="10"/>
      <c r="D6" s="13" t="s">
        <v>3</v>
      </c>
      <c r="E6" s="10"/>
      <c r="F6" s="13" t="s">
        <v>3</v>
      </c>
      <c r="G6" s="10"/>
      <c r="H6" s="10"/>
    </row>
    <row r="7" spans="1:8" ht="16.5" customHeight="1" x14ac:dyDescent="0.3">
      <c r="B7" s="4">
        <f t="array" ref="B7:H7">Días+15+DATE(Calendario1Año,Calendario1MesOpción,1)-WEEKDAY(DATE(Calendario1Año,Calendario1MesOpción,1),DíaDeLaSemanaOpción)</f>
        <v>43843</v>
      </c>
      <c r="C7" s="4">
        <v>43844</v>
      </c>
      <c r="D7" s="4">
        <v>43845</v>
      </c>
      <c r="E7" s="4">
        <v>43846</v>
      </c>
      <c r="F7" s="4">
        <v>43847</v>
      </c>
      <c r="G7" s="4">
        <v>43848</v>
      </c>
      <c r="H7" s="5">
        <v>43849</v>
      </c>
    </row>
    <row r="8" spans="1:8" ht="56.25" customHeight="1" x14ac:dyDescent="0.3">
      <c r="B8" s="13" t="s">
        <v>3</v>
      </c>
      <c r="C8" s="10"/>
      <c r="D8" s="13" t="s">
        <v>3</v>
      </c>
      <c r="E8" s="10"/>
      <c r="F8" s="13" t="s">
        <v>3</v>
      </c>
      <c r="G8" s="10"/>
      <c r="H8" s="11"/>
    </row>
    <row r="9" spans="1:8" ht="16.5" customHeight="1" x14ac:dyDescent="0.3">
      <c r="B9" s="4">
        <f t="array" ref="B9:H9">Días+22+DATE(Calendario1Año,Calendario1MesOpción,1)-WEEKDAY(DATE(Calendario1Año,Calendario1MesOpción,1),DíaDeLaSemanaOpción)</f>
        <v>43850</v>
      </c>
      <c r="C9" s="4">
        <v>43851</v>
      </c>
      <c r="D9" s="4">
        <v>43852</v>
      </c>
      <c r="E9" s="4">
        <v>43853</v>
      </c>
      <c r="F9" s="4">
        <v>43854</v>
      </c>
      <c r="G9" s="4">
        <v>43855</v>
      </c>
      <c r="H9" s="5">
        <v>43856</v>
      </c>
    </row>
    <row r="10" spans="1:8" ht="56.25" customHeight="1" x14ac:dyDescent="0.3">
      <c r="B10" s="13" t="s">
        <v>3</v>
      </c>
      <c r="C10" s="10"/>
      <c r="D10" s="13" t="s">
        <v>3</v>
      </c>
      <c r="E10" s="10"/>
      <c r="F10" s="13" t="s">
        <v>3</v>
      </c>
      <c r="G10" s="10"/>
      <c r="H10" s="11"/>
    </row>
    <row r="11" spans="1:8" ht="16.5" customHeight="1" x14ac:dyDescent="0.3">
      <c r="B11" s="4">
        <f t="array" ref="B11:H11">Días+29+DATE(Calendario1Año,Calendario1MesOpción,1)-WEEKDAY(DATE(Calendario1Año,Calendario1MesOpción,1),DíaDeLaSemanaOpción)</f>
        <v>43857</v>
      </c>
      <c r="C11" s="4">
        <v>43858</v>
      </c>
      <c r="D11" s="4">
        <v>43859</v>
      </c>
      <c r="E11" s="4">
        <v>43860</v>
      </c>
      <c r="F11" s="4">
        <v>43861</v>
      </c>
      <c r="G11" s="4">
        <v>43862</v>
      </c>
      <c r="H11" s="5">
        <v>43863</v>
      </c>
    </row>
    <row r="12" spans="1:8" ht="57" customHeight="1" x14ac:dyDescent="0.3">
      <c r="B12" s="13" t="s">
        <v>3</v>
      </c>
      <c r="C12" s="10"/>
      <c r="D12" s="13" t="s">
        <v>3</v>
      </c>
      <c r="E12" s="10"/>
      <c r="F12" s="13" t="s">
        <v>3</v>
      </c>
      <c r="G12" s="10"/>
      <c r="H12" s="11"/>
    </row>
    <row r="13" spans="1:8" ht="16.5" customHeight="1" x14ac:dyDescent="0.3">
      <c r="B13" s="4">
        <f t="array" ref="B13:C13">Días+36+DATE(Calendario1Año,Calendario1MesOpción,1)-WEEKDAY(DATE(Calendario1Año,Calendario1MesOpción,1),DíaDeLaSemanaOpción)</f>
        <v>43864</v>
      </c>
      <c r="C13" s="4">
        <v>43865</v>
      </c>
      <c r="D13" s="66" t="s">
        <v>1</v>
      </c>
      <c r="E13" s="67"/>
      <c r="F13" s="67"/>
      <c r="G13" s="67"/>
      <c r="H13" s="67"/>
    </row>
    <row r="14" spans="1:8" ht="63.75" customHeight="1" x14ac:dyDescent="0.3">
      <c r="B14" s="10"/>
      <c r="C14" s="10"/>
      <c r="D14" s="65"/>
      <c r="E14" s="64"/>
      <c r="F14" s="64"/>
      <c r="G14" s="64"/>
      <c r="H14" s="64"/>
    </row>
    <row r="15" spans="1:8" ht="54" customHeight="1" x14ac:dyDescent="0.7">
      <c r="A15" s="2"/>
      <c r="B15" s="1">
        <f>YEAR(DATE(Calendario1Año,Calendario1MesOpción+1,1))</f>
        <v>2020</v>
      </c>
      <c r="C15" s="6" t="str">
        <f>TEXT(DATE(Calendario1Año,Calendario1MesOpción+1,1),"mmmm")</f>
        <v>febrero</v>
      </c>
      <c r="D15" s="9"/>
      <c r="E15" s="9"/>
      <c r="F15" s="9"/>
      <c r="G15" s="9"/>
      <c r="H15" s="2"/>
    </row>
    <row r="16" spans="1:8" ht="14.25" customHeight="1" x14ac:dyDescent="0.3">
      <c r="A16" s="3"/>
      <c r="B16" s="7" t="str">
        <f>UPPER(TEXT(B17,"dddd"))</f>
        <v>LUNES</v>
      </c>
      <c r="C16" s="8" t="str">
        <f t="shared" ref="C16:H16" si="1">UPPER(TEXT(C17,"dddd"))</f>
        <v>MARTES</v>
      </c>
      <c r="D16" s="7" t="str">
        <f t="shared" si="1"/>
        <v>MIÉRCOLES</v>
      </c>
      <c r="E16" s="8" t="str">
        <f t="shared" si="1"/>
        <v>JUEVES</v>
      </c>
      <c r="F16" s="7" t="str">
        <f t="shared" si="1"/>
        <v>VIERNES</v>
      </c>
      <c r="G16" s="8" t="str">
        <f t="shared" si="1"/>
        <v>SÁBADO</v>
      </c>
      <c r="H16" s="7" t="str">
        <f t="shared" si="1"/>
        <v>DOMINGO</v>
      </c>
    </row>
    <row r="17" spans="1:8" ht="16.5" customHeight="1" x14ac:dyDescent="0.3">
      <c r="B17" s="4">
        <f t="array" ref="B17:H17">Días+1+DATE(Calendario2Año,Calendario2MesOpción,1)-WEEKDAY(DATE(Calendario2Año,Calendario2MesOpción,1),DíaDeLaSemanaOpción)</f>
        <v>43857</v>
      </c>
      <c r="C17" s="4">
        <v>43858</v>
      </c>
      <c r="D17" s="4">
        <v>43859</v>
      </c>
      <c r="E17" s="4">
        <v>43860</v>
      </c>
      <c r="F17" s="4">
        <v>43861</v>
      </c>
      <c r="G17" s="4">
        <v>43862</v>
      </c>
      <c r="H17" s="5">
        <v>43863</v>
      </c>
    </row>
    <row r="18" spans="1:8" ht="56.25" customHeight="1" x14ac:dyDescent="0.3">
      <c r="B18" s="10"/>
      <c r="C18" s="10"/>
      <c r="D18" s="13" t="s">
        <v>3</v>
      </c>
      <c r="E18" s="10"/>
      <c r="F18" s="13" t="s">
        <v>3</v>
      </c>
      <c r="G18" s="10"/>
      <c r="H18" s="11"/>
    </row>
    <row r="19" spans="1:8" ht="16.5" customHeight="1" x14ac:dyDescent="0.3">
      <c r="B19" s="4">
        <f t="array" ref="B19:H19">Días+8+DATE(Calendario2Año,Calendario2MesOpción,1)-WEEKDAY(DATE(Calendario2Año,Calendario2MesOpción,1),DíaDeLaSemanaOpción)</f>
        <v>43864</v>
      </c>
      <c r="C19" s="4">
        <v>43865</v>
      </c>
      <c r="D19" s="4">
        <v>43866</v>
      </c>
      <c r="E19" s="4">
        <v>43867</v>
      </c>
      <c r="F19" s="4">
        <v>43868</v>
      </c>
      <c r="G19" s="4">
        <v>43869</v>
      </c>
      <c r="H19" s="5">
        <v>43870</v>
      </c>
    </row>
    <row r="20" spans="1:8" ht="56.25" customHeight="1" x14ac:dyDescent="0.3">
      <c r="B20" s="13" t="s">
        <v>3</v>
      </c>
      <c r="C20" s="10"/>
      <c r="D20" s="13" t="s">
        <v>3</v>
      </c>
      <c r="E20" s="10"/>
      <c r="F20" s="13" t="s">
        <v>3</v>
      </c>
      <c r="G20" s="10"/>
      <c r="H20" s="11"/>
    </row>
    <row r="21" spans="1:8" ht="16.5" customHeight="1" x14ac:dyDescent="0.3">
      <c r="B21" s="4">
        <f t="array" ref="B21:H21">Días+15+DATE(Calendario2Año,Calendario2MesOpción,1)-WEEKDAY(DATE(Calendario2Año,Calendario2MesOpción,1),DíaDeLaSemanaOpción)</f>
        <v>43871</v>
      </c>
      <c r="C21" s="4">
        <v>43872</v>
      </c>
      <c r="D21" s="4">
        <v>43873</v>
      </c>
      <c r="E21" s="4">
        <v>43874</v>
      </c>
      <c r="F21" s="4">
        <v>43875</v>
      </c>
      <c r="G21" s="4">
        <v>43876</v>
      </c>
      <c r="H21" s="5">
        <v>43877</v>
      </c>
    </row>
    <row r="22" spans="1:8" ht="56.25" customHeight="1" x14ac:dyDescent="0.3">
      <c r="B22" s="13" t="s">
        <v>3</v>
      </c>
      <c r="C22" s="10"/>
      <c r="D22" s="13" t="s">
        <v>3</v>
      </c>
      <c r="E22" s="10"/>
      <c r="F22" s="13" t="s">
        <v>3</v>
      </c>
      <c r="G22" s="10"/>
      <c r="H22" s="11"/>
    </row>
    <row r="23" spans="1:8" ht="16.5" customHeight="1" x14ac:dyDescent="0.3">
      <c r="B23" s="4">
        <f t="array" ref="B23:H23">Días+22+DATE(Calendario2Año,Calendario2MesOpción,1)-WEEKDAY(DATE(Calendario2Año,Calendario2MesOpción,1),DíaDeLaSemanaOpción)</f>
        <v>43878</v>
      </c>
      <c r="C23" s="4">
        <v>43879</v>
      </c>
      <c r="D23" s="4">
        <v>43880</v>
      </c>
      <c r="E23" s="4">
        <v>43881</v>
      </c>
      <c r="F23" s="4">
        <v>43882</v>
      </c>
      <c r="G23" s="4">
        <v>43883</v>
      </c>
      <c r="H23" s="5">
        <v>43884</v>
      </c>
    </row>
    <row r="24" spans="1:8" ht="56.25" customHeight="1" x14ac:dyDescent="0.3">
      <c r="B24" s="13" t="s">
        <v>3</v>
      </c>
      <c r="C24" s="10"/>
      <c r="D24" s="13" t="s">
        <v>3</v>
      </c>
      <c r="E24" s="10"/>
      <c r="F24" s="13" t="s">
        <v>3</v>
      </c>
      <c r="G24" s="10"/>
      <c r="H24" s="11"/>
    </row>
    <row r="25" spans="1:8" ht="16.5" customHeight="1" x14ac:dyDescent="0.3">
      <c r="B25" s="4">
        <f t="array" ref="B25:H25">Días+29+DATE(Calendario2Año,Calendario2MesOpción,1)-WEEKDAY(DATE(Calendario2Año,Calendario2MesOpción,1),DíaDeLaSemanaOpción)</f>
        <v>43885</v>
      </c>
      <c r="C25" s="4">
        <v>43886</v>
      </c>
      <c r="D25" s="4">
        <v>43887</v>
      </c>
      <c r="E25" s="4">
        <v>43888</v>
      </c>
      <c r="F25" s="4">
        <v>43889</v>
      </c>
      <c r="G25" s="4">
        <v>43890</v>
      </c>
      <c r="H25" s="5">
        <v>43891</v>
      </c>
    </row>
    <row r="26" spans="1:8" ht="57" customHeight="1" x14ac:dyDescent="0.3">
      <c r="B26" s="13" t="s">
        <v>3</v>
      </c>
      <c r="C26" s="10"/>
      <c r="D26" s="13" t="s">
        <v>3</v>
      </c>
      <c r="E26" s="10"/>
      <c r="F26" s="10"/>
      <c r="G26" s="10"/>
      <c r="H26" s="12"/>
    </row>
    <row r="27" spans="1:8" ht="16.5" customHeight="1" x14ac:dyDescent="0.3">
      <c r="B27" s="4">
        <f t="array" ref="B27:C27">Días+36+DATE(Calendario2Año,Calendario2MesOpción,1)-WEEKDAY(DATE(Calendario2Año,Calendario2MesOpción,1),DíaDeLaSemanaOpción)</f>
        <v>43892</v>
      </c>
      <c r="C27" s="4">
        <v>43893</v>
      </c>
      <c r="D27" s="63" t="s">
        <v>1</v>
      </c>
      <c r="E27" s="63"/>
      <c r="F27" s="63"/>
      <c r="G27" s="63"/>
      <c r="H27" s="63"/>
    </row>
    <row r="28" spans="1:8" ht="63.75" customHeight="1" x14ac:dyDescent="0.3">
      <c r="B28" s="10"/>
      <c r="C28" s="10"/>
      <c r="D28" s="64"/>
      <c r="E28" s="64"/>
      <c r="F28" s="64"/>
      <c r="G28" s="64"/>
      <c r="H28" s="64"/>
    </row>
    <row r="29" spans="1:8" ht="54" customHeight="1" x14ac:dyDescent="0.7">
      <c r="A29" s="2"/>
      <c r="B29" s="1">
        <f>YEAR(DATE(Calendario2Año,Calendario2MesOpción+1,1))</f>
        <v>2020</v>
      </c>
      <c r="C29" s="6" t="str">
        <f>TEXT(DATE(Calendario2Año,Calendario2MesOpción+1,1),"mmmm")</f>
        <v>marzo</v>
      </c>
      <c r="D29" s="9"/>
      <c r="E29" s="9"/>
      <c r="F29" s="9"/>
      <c r="G29" s="9"/>
      <c r="H29" s="2"/>
    </row>
    <row r="30" spans="1:8" ht="14.25" customHeight="1" x14ac:dyDescent="0.3">
      <c r="A30" s="3"/>
      <c r="B30" s="7" t="str">
        <f>UPPER(TEXT(B31,"dddd"))</f>
        <v>LUNES</v>
      </c>
      <c r="C30" s="8" t="str">
        <f t="shared" ref="C30:H30" si="2">UPPER(TEXT(C31,"dddd"))</f>
        <v>MARTES</v>
      </c>
      <c r="D30" s="7" t="str">
        <f t="shared" si="2"/>
        <v>MIÉRCOLES</v>
      </c>
      <c r="E30" s="8" t="str">
        <f t="shared" si="2"/>
        <v>JUEVES</v>
      </c>
      <c r="F30" s="7" t="str">
        <f t="shared" si="2"/>
        <v>VIERNES</v>
      </c>
      <c r="G30" s="8" t="str">
        <f t="shared" si="2"/>
        <v>SÁBADO</v>
      </c>
      <c r="H30" s="7" t="str">
        <f t="shared" si="2"/>
        <v>DOMINGO</v>
      </c>
    </row>
    <row r="31" spans="1:8" ht="16.5" customHeight="1" x14ac:dyDescent="0.3">
      <c r="B31" s="4">
        <f t="array" ref="B31:H31">Días+1+DATE(Calendario3Año,Calendario3MesOpción,1)-WEEKDAY(DATE(Calendario3Año,Calendario3MesOpción,1),DíaDeLaSemanaOpción)</f>
        <v>43885</v>
      </c>
      <c r="C31" s="4">
        <v>43886</v>
      </c>
      <c r="D31" s="4">
        <v>43887</v>
      </c>
      <c r="E31" s="4">
        <v>43888</v>
      </c>
      <c r="F31" s="4">
        <v>43889</v>
      </c>
      <c r="G31" s="4">
        <v>43890</v>
      </c>
      <c r="H31" s="5">
        <v>43891</v>
      </c>
    </row>
    <row r="32" spans="1:8" ht="56.25" customHeight="1" x14ac:dyDescent="0.3">
      <c r="B32" s="10"/>
      <c r="C32" s="10"/>
      <c r="D32" s="10"/>
      <c r="E32" s="10"/>
      <c r="F32" s="13" t="s">
        <v>3</v>
      </c>
      <c r="G32" s="10"/>
      <c r="H32" s="11"/>
    </row>
    <row r="33" spans="1:8" ht="16.5" customHeight="1" x14ac:dyDescent="0.3">
      <c r="B33" s="4">
        <f t="array" ref="B33:H33">Días+8+DATE(Calendario3Año,Calendario3MesOpción,1)-WEEKDAY(DATE(Calendario3Año,Calendario3MesOpción,1),DíaDeLaSemanaOpción)</f>
        <v>43892</v>
      </c>
      <c r="C33" s="4">
        <v>43893</v>
      </c>
      <c r="D33" s="4">
        <v>43894</v>
      </c>
      <c r="E33" s="4">
        <v>43895</v>
      </c>
      <c r="F33" s="4">
        <v>43896</v>
      </c>
      <c r="G33" s="4">
        <v>43897</v>
      </c>
      <c r="H33" s="5">
        <v>43898</v>
      </c>
    </row>
    <row r="34" spans="1:8" ht="56.25" customHeight="1" x14ac:dyDescent="0.3">
      <c r="B34" s="13" t="s">
        <v>3</v>
      </c>
      <c r="C34" s="10"/>
      <c r="D34" s="13" t="s">
        <v>3</v>
      </c>
      <c r="E34" s="10"/>
      <c r="F34" s="13" t="s">
        <v>3</v>
      </c>
      <c r="G34" s="10"/>
      <c r="H34" s="11"/>
    </row>
    <row r="35" spans="1:8" ht="16.5" customHeight="1" x14ac:dyDescent="0.3">
      <c r="B35" s="4">
        <f t="array" ref="B35:H35">Días+15+DATE(Calendario3Año,Calendario3MesOpción,1)-WEEKDAY(DATE(Calendario3Año,Calendario3MesOpción,1),DíaDeLaSemanaOpción)</f>
        <v>43899</v>
      </c>
      <c r="C35" s="4">
        <v>43900</v>
      </c>
      <c r="D35" s="4">
        <v>43901</v>
      </c>
      <c r="E35" s="4">
        <v>43902</v>
      </c>
      <c r="F35" s="4">
        <v>43903</v>
      </c>
      <c r="G35" s="4">
        <v>43904</v>
      </c>
      <c r="H35" s="5">
        <v>43905</v>
      </c>
    </row>
    <row r="36" spans="1:8" ht="56.25" customHeight="1" x14ac:dyDescent="0.3">
      <c r="B36" s="13" t="s">
        <v>3</v>
      </c>
      <c r="C36" s="10"/>
      <c r="D36" s="13" t="s">
        <v>3</v>
      </c>
      <c r="E36" s="10"/>
      <c r="F36" s="13" t="s">
        <v>3</v>
      </c>
      <c r="G36" s="10"/>
      <c r="H36" s="11"/>
    </row>
    <row r="37" spans="1:8" ht="16.5" customHeight="1" x14ac:dyDescent="0.3">
      <c r="B37" s="4">
        <f t="array" ref="B37:H37">Días+22+DATE(Calendario3Año,Calendario3MesOpción,1)-WEEKDAY(DATE(Calendario3Año,Calendario3MesOpción,1),DíaDeLaSemanaOpción)</f>
        <v>43906</v>
      </c>
      <c r="C37" s="4">
        <v>43907</v>
      </c>
      <c r="D37" s="4">
        <v>43908</v>
      </c>
      <c r="E37" s="4">
        <v>43909</v>
      </c>
      <c r="F37" s="4">
        <v>43910</v>
      </c>
      <c r="G37" s="4">
        <v>43911</v>
      </c>
      <c r="H37" s="5">
        <v>43912</v>
      </c>
    </row>
    <row r="38" spans="1:8" ht="56.25" customHeight="1" x14ac:dyDescent="0.3">
      <c r="B38" s="13" t="s">
        <v>3</v>
      </c>
      <c r="C38" s="10"/>
      <c r="D38" s="13" t="s">
        <v>3</v>
      </c>
      <c r="E38" s="10"/>
      <c r="F38" s="13" t="s">
        <v>3</v>
      </c>
      <c r="G38" s="10"/>
      <c r="H38" s="11"/>
    </row>
    <row r="39" spans="1:8" ht="16.5" customHeight="1" x14ac:dyDescent="0.3">
      <c r="B39" s="4">
        <f t="array" ref="B39:H39">Días+29+DATE(Calendario3Año,Calendario3MesOpción,1)-WEEKDAY(DATE(Calendario3Año,Calendario3MesOpción,1),DíaDeLaSemanaOpción)</f>
        <v>43913</v>
      </c>
      <c r="C39" s="4">
        <v>43914</v>
      </c>
      <c r="D39" s="4">
        <v>43915</v>
      </c>
      <c r="E39" s="4">
        <v>43916</v>
      </c>
      <c r="F39" s="4">
        <v>43917</v>
      </c>
      <c r="G39" s="4">
        <v>43918</v>
      </c>
      <c r="H39" s="5">
        <v>43919</v>
      </c>
    </row>
    <row r="40" spans="1:8" ht="57" customHeight="1" x14ac:dyDescent="0.3">
      <c r="B40" s="13" t="s">
        <v>3</v>
      </c>
      <c r="C40" s="10"/>
      <c r="D40" s="13" t="s">
        <v>3</v>
      </c>
      <c r="E40" s="10"/>
      <c r="F40" s="10"/>
      <c r="G40" s="10"/>
      <c r="H40" s="12"/>
    </row>
    <row r="41" spans="1:8" ht="16.5" customHeight="1" x14ac:dyDescent="0.3">
      <c r="B41" s="4">
        <f t="array" ref="B41:C41">Días+36+DATE(Calendario3Año,Calendario3MesOpción,1)-WEEKDAY(DATE(Calendario3Año,Calendario3MesOpción,1),DíaDeLaSemanaOpción)</f>
        <v>43920</v>
      </c>
      <c r="C41" s="4">
        <v>43921</v>
      </c>
      <c r="D41" s="63" t="s">
        <v>1</v>
      </c>
      <c r="E41" s="63"/>
      <c r="F41" s="63"/>
      <c r="G41" s="63"/>
      <c r="H41" s="63"/>
    </row>
    <row r="42" spans="1:8" ht="63.75" customHeight="1" x14ac:dyDescent="0.3">
      <c r="B42" s="10"/>
      <c r="C42" s="10"/>
      <c r="D42" s="64"/>
      <c r="E42" s="64"/>
      <c r="F42" s="64"/>
      <c r="G42" s="64"/>
      <c r="H42" s="64"/>
    </row>
    <row r="43" spans="1:8" ht="54" customHeight="1" x14ac:dyDescent="0.7">
      <c r="A43" s="2"/>
      <c r="B43" s="1">
        <f>YEAR(DATE(Calendario3Año,Calendario3MesOpción+1,1))</f>
        <v>2020</v>
      </c>
      <c r="C43" s="6" t="str">
        <f>TEXT(DATE(Calendario3Año,Calendario3MesOpción+1,1),"mmmm")</f>
        <v>abril</v>
      </c>
      <c r="D43" s="9"/>
      <c r="E43" s="9"/>
      <c r="F43" s="9"/>
      <c r="G43" s="9"/>
      <c r="H43" s="2"/>
    </row>
    <row r="44" spans="1:8" ht="14.25" customHeight="1" x14ac:dyDescent="0.3">
      <c r="A44" s="3"/>
      <c r="B44" s="7" t="str">
        <f>UPPER(TEXT(B45,"dddd"))</f>
        <v>LUNES</v>
      </c>
      <c r="C44" s="8" t="str">
        <f t="shared" ref="C44:H44" si="3">UPPER(TEXT(C45,"dddd"))</f>
        <v>MARTES</v>
      </c>
      <c r="D44" s="7" t="str">
        <f t="shared" si="3"/>
        <v>MIÉRCOLES</v>
      </c>
      <c r="E44" s="8" t="str">
        <f t="shared" si="3"/>
        <v>JUEVES</v>
      </c>
      <c r="F44" s="7" t="str">
        <f t="shared" si="3"/>
        <v>VIERNES</v>
      </c>
      <c r="G44" s="8" t="str">
        <f t="shared" si="3"/>
        <v>SÁBADO</v>
      </c>
      <c r="H44" s="7" t="str">
        <f t="shared" si="3"/>
        <v>DOMINGO</v>
      </c>
    </row>
    <row r="45" spans="1:8" ht="16.5" customHeight="1" x14ac:dyDescent="0.3">
      <c r="B45" s="4">
        <f t="array" ref="B45:H45">Días+1+DATE(Calendario4Año,Calendario4MesOpción,1)-WEEKDAY(DATE(Calendario4Año,Calendario4MesOpción,1),DíaDeLaSemanaOpción)</f>
        <v>43920</v>
      </c>
      <c r="C45" s="4">
        <v>43921</v>
      </c>
      <c r="D45" s="4">
        <v>43922</v>
      </c>
      <c r="E45" s="4">
        <v>43923</v>
      </c>
      <c r="F45" s="4">
        <v>43924</v>
      </c>
      <c r="G45" s="4">
        <v>43925</v>
      </c>
      <c r="H45" s="5">
        <v>43926</v>
      </c>
    </row>
    <row r="46" spans="1:8" ht="48.75" customHeight="1" x14ac:dyDescent="0.3">
      <c r="B46" s="10"/>
      <c r="C46" s="10"/>
      <c r="D46" s="10"/>
      <c r="E46" s="10"/>
      <c r="F46" s="13" t="s">
        <v>3</v>
      </c>
      <c r="G46" s="10"/>
      <c r="H46" s="11"/>
    </row>
    <row r="47" spans="1:8" ht="16.5" customHeight="1" x14ac:dyDescent="0.3">
      <c r="B47" s="4">
        <f t="array" ref="B47:H47">Días+8+DATE(Calendario4Año,Calendario4MesOpción,1)-WEEKDAY(DATE(Calendario4Año,Calendario4MesOpción,1),DíaDeLaSemanaOpción)</f>
        <v>43927</v>
      </c>
      <c r="C47" s="4">
        <v>43928</v>
      </c>
      <c r="D47" s="4">
        <v>43929</v>
      </c>
      <c r="E47" s="4">
        <v>43930</v>
      </c>
      <c r="F47" s="4">
        <v>43931</v>
      </c>
      <c r="G47" s="4">
        <v>43932</v>
      </c>
      <c r="H47" s="5">
        <v>43933</v>
      </c>
    </row>
    <row r="48" spans="1:8" ht="56.25" customHeight="1" x14ac:dyDescent="0.3">
      <c r="B48" s="13" t="s">
        <v>3</v>
      </c>
      <c r="C48" s="10"/>
      <c r="D48" s="13" t="s">
        <v>3</v>
      </c>
      <c r="E48" s="10"/>
      <c r="F48" s="13" t="s">
        <v>3</v>
      </c>
      <c r="G48" s="10"/>
      <c r="H48" s="11"/>
    </row>
    <row r="49" spans="1:8" ht="16.5" customHeight="1" x14ac:dyDescent="0.3">
      <c r="B49" s="4">
        <f t="array" ref="B49:H49">Días+15+DATE(Calendario4Año,Calendario4MesOpción,1)-WEEKDAY(DATE(Calendario4Año,Calendario4MesOpción,1),DíaDeLaSemanaOpción)</f>
        <v>43934</v>
      </c>
      <c r="C49" s="4">
        <v>43935</v>
      </c>
      <c r="D49" s="4">
        <v>43936</v>
      </c>
      <c r="E49" s="4">
        <v>43937</v>
      </c>
      <c r="F49" s="4">
        <v>43938</v>
      </c>
      <c r="G49" s="4">
        <v>43939</v>
      </c>
      <c r="H49" s="5">
        <v>43940</v>
      </c>
    </row>
    <row r="50" spans="1:8" ht="56.25" customHeight="1" x14ac:dyDescent="0.3">
      <c r="B50" s="13" t="s">
        <v>3</v>
      </c>
      <c r="C50" s="10"/>
      <c r="D50" s="13" t="s">
        <v>3</v>
      </c>
      <c r="E50" s="10"/>
      <c r="F50" s="13" t="s">
        <v>3</v>
      </c>
      <c r="G50" s="10"/>
      <c r="H50" s="11"/>
    </row>
    <row r="51" spans="1:8" ht="16.5" customHeight="1" x14ac:dyDescent="0.3">
      <c r="B51" s="4">
        <f t="array" ref="B51:H51">Días+22+DATE(Calendario4Año,Calendario4MesOpción,1)-WEEKDAY(DATE(Calendario4Año,Calendario4MesOpción,1),DíaDeLaSemanaOpción)</f>
        <v>43941</v>
      </c>
      <c r="C51" s="4">
        <v>43942</v>
      </c>
      <c r="D51" s="4">
        <v>43943</v>
      </c>
      <c r="E51" s="4">
        <v>43944</v>
      </c>
      <c r="F51" s="4">
        <v>43945</v>
      </c>
      <c r="G51" s="4">
        <v>43946</v>
      </c>
      <c r="H51" s="5">
        <v>43947</v>
      </c>
    </row>
    <row r="52" spans="1:8" ht="56.25" customHeight="1" x14ac:dyDescent="0.3">
      <c r="B52" s="13" t="s">
        <v>3</v>
      </c>
      <c r="C52" s="10"/>
      <c r="D52" s="13" t="s">
        <v>3</v>
      </c>
      <c r="E52" s="10"/>
      <c r="F52" s="13" t="s">
        <v>3</v>
      </c>
      <c r="G52" s="10"/>
      <c r="H52" s="11"/>
    </row>
    <row r="53" spans="1:8" ht="16.5" customHeight="1" x14ac:dyDescent="0.3">
      <c r="B53" s="4">
        <f t="array" ref="B53:H53">Días+29+DATE(Calendario4Año,Calendario4MesOpción,1)-WEEKDAY(DATE(Calendario4Año,Calendario4MesOpción,1),DíaDeLaSemanaOpción)</f>
        <v>43948</v>
      </c>
      <c r="C53" s="4">
        <v>43949</v>
      </c>
      <c r="D53" s="4">
        <v>43950</v>
      </c>
      <c r="E53" s="4">
        <v>43951</v>
      </c>
      <c r="F53" s="4">
        <v>43952</v>
      </c>
      <c r="G53" s="4">
        <v>43953</v>
      </c>
      <c r="H53" s="5">
        <v>43954</v>
      </c>
    </row>
    <row r="54" spans="1:8" ht="57" customHeight="1" x14ac:dyDescent="0.3">
      <c r="B54" s="13" t="s">
        <v>3</v>
      </c>
      <c r="C54" s="10"/>
      <c r="D54" s="13" t="s">
        <v>3</v>
      </c>
      <c r="E54" s="10"/>
      <c r="F54" s="13" t="s">
        <v>3</v>
      </c>
      <c r="G54" s="10"/>
      <c r="H54" s="12"/>
    </row>
    <row r="55" spans="1:8" ht="16.5" customHeight="1" x14ac:dyDescent="0.3">
      <c r="B55" s="4">
        <f t="array" ref="B55:C55">Días+36+DATE(Calendario4Año,Calendario4MesOpción,1)-WEEKDAY(DATE(Calendario4Año,Calendario4MesOpción,1),DíaDeLaSemanaOpción)</f>
        <v>43955</v>
      </c>
      <c r="C55" s="4">
        <v>43956</v>
      </c>
      <c r="D55" s="62" t="s">
        <v>1</v>
      </c>
      <c r="E55" s="63"/>
      <c r="F55" s="63"/>
      <c r="G55" s="63"/>
      <c r="H55" s="63"/>
    </row>
    <row r="56" spans="1:8" ht="63.75" customHeight="1" x14ac:dyDescent="0.3">
      <c r="B56" s="10"/>
      <c r="C56" s="10"/>
      <c r="D56" s="64"/>
      <c r="E56" s="64"/>
      <c r="F56" s="64"/>
      <c r="G56" s="64"/>
      <c r="H56" s="64"/>
    </row>
    <row r="57" spans="1:8" ht="54" customHeight="1" x14ac:dyDescent="0.7">
      <c r="A57" s="2"/>
      <c r="B57" s="1">
        <f>YEAR(DATE(Calendario4Año,Calendario4MesOpción+1,1))</f>
        <v>2020</v>
      </c>
      <c r="C57" s="6" t="str">
        <f>TEXT(DATE(Calendario4Año,Calendario4MesOpción+1,1),"mmmm")</f>
        <v>mayo</v>
      </c>
      <c r="D57" s="9"/>
      <c r="E57" s="9"/>
      <c r="F57" s="9"/>
      <c r="G57" s="9"/>
      <c r="H57" s="2"/>
    </row>
    <row r="58" spans="1:8" ht="14.25" customHeight="1" x14ac:dyDescent="0.3">
      <c r="A58" s="3"/>
      <c r="B58" s="7" t="str">
        <f>UPPER(TEXT(B59,"dddd"))</f>
        <v>LUNES</v>
      </c>
      <c r="C58" s="8" t="str">
        <f t="shared" ref="C58:H58" si="4">UPPER(TEXT(C59,"dddd"))</f>
        <v>MARTES</v>
      </c>
      <c r="D58" s="7" t="str">
        <f t="shared" si="4"/>
        <v>MIÉRCOLES</v>
      </c>
      <c r="E58" s="8" t="str">
        <f t="shared" si="4"/>
        <v>JUEVES</v>
      </c>
      <c r="F58" s="7" t="str">
        <f t="shared" si="4"/>
        <v>VIERNES</v>
      </c>
      <c r="G58" s="8" t="str">
        <f t="shared" si="4"/>
        <v>SÁBADO</v>
      </c>
      <c r="H58" s="7" t="str">
        <f t="shared" si="4"/>
        <v>DOMINGO</v>
      </c>
    </row>
    <row r="59" spans="1:8" ht="16.5" customHeight="1" x14ac:dyDescent="0.3">
      <c r="B59" s="4">
        <f t="array" ref="B59:H59">Días+1+DATE(Calendario5Año,Calendario5MesOpción,1)-WEEKDAY(DATE(Calendario5Año,Calendario5MesOpción,1),DíaDeLaSemanaOpción)</f>
        <v>43948</v>
      </c>
      <c r="C59" s="4">
        <v>43949</v>
      </c>
      <c r="D59" s="4">
        <v>43950</v>
      </c>
      <c r="E59" s="4">
        <v>43951</v>
      </c>
      <c r="F59" s="4">
        <v>43952</v>
      </c>
      <c r="G59" s="4">
        <v>43953</v>
      </c>
      <c r="H59" s="5">
        <v>43954</v>
      </c>
    </row>
    <row r="60" spans="1:8" ht="57" customHeight="1" x14ac:dyDescent="0.3">
      <c r="B60" s="10"/>
      <c r="C60" s="10"/>
      <c r="D60" s="10"/>
      <c r="E60" s="10"/>
      <c r="F60" s="10"/>
      <c r="G60" s="10"/>
      <c r="H60" s="12"/>
    </row>
    <row r="61" spans="1:8" ht="16.5" customHeight="1" x14ac:dyDescent="0.3">
      <c r="B61" s="4">
        <f t="array" ref="B61:H61">Días+8+DATE(Calendario5Año,Calendario5MesOpción,1)-WEEKDAY(DATE(Calendario5Año,Calendario5MesOpción,1),DíaDeLaSemanaOpción)</f>
        <v>43955</v>
      </c>
      <c r="C61" s="4">
        <v>43956</v>
      </c>
      <c r="D61" s="4">
        <v>43957</v>
      </c>
      <c r="E61" s="4">
        <v>43958</v>
      </c>
      <c r="F61" s="4">
        <v>43959</v>
      </c>
      <c r="G61" s="4">
        <v>43960</v>
      </c>
      <c r="H61" s="5">
        <v>43961</v>
      </c>
    </row>
    <row r="62" spans="1:8" ht="57" customHeight="1" x14ac:dyDescent="0.3">
      <c r="B62" s="10"/>
      <c r="C62" s="10"/>
      <c r="D62" s="10"/>
      <c r="E62" s="10"/>
      <c r="F62" s="10"/>
      <c r="G62" s="10"/>
      <c r="H62" s="12"/>
    </row>
    <row r="63" spans="1:8" ht="16.5" customHeight="1" x14ac:dyDescent="0.3">
      <c r="B63" s="4">
        <f t="array" ref="B63:H63">Días+15+DATE(Calendario5Año,Calendario5MesOpción,1)-WEEKDAY(DATE(Calendario5Año,Calendario5MesOpción,1),DíaDeLaSemanaOpción)</f>
        <v>43962</v>
      </c>
      <c r="C63" s="4">
        <v>43963</v>
      </c>
      <c r="D63" s="4">
        <v>43964</v>
      </c>
      <c r="E63" s="4">
        <v>43965</v>
      </c>
      <c r="F63" s="4">
        <v>43966</v>
      </c>
      <c r="G63" s="4">
        <v>43967</v>
      </c>
      <c r="H63" s="5">
        <v>43968</v>
      </c>
    </row>
    <row r="64" spans="1:8" ht="57" customHeight="1" x14ac:dyDescent="0.3">
      <c r="B64" s="10"/>
      <c r="C64" s="10"/>
      <c r="D64" s="10"/>
      <c r="E64" s="10"/>
      <c r="F64" s="10"/>
      <c r="G64" s="10"/>
      <c r="H64" s="12"/>
    </row>
    <row r="65" spans="1:8" ht="16.5" customHeight="1" x14ac:dyDescent="0.3">
      <c r="B65" s="4">
        <f t="array" ref="B65:H65">Días+22+DATE(Calendario5Año,Calendario5MesOpción,1)-WEEKDAY(DATE(Calendario5Año,Calendario5MesOpción,1),DíaDeLaSemanaOpción)</f>
        <v>43969</v>
      </c>
      <c r="C65" s="4">
        <v>43970</v>
      </c>
      <c r="D65" s="4">
        <v>43971</v>
      </c>
      <c r="E65" s="4">
        <v>43972</v>
      </c>
      <c r="F65" s="4">
        <v>43973</v>
      </c>
      <c r="G65" s="4">
        <v>43974</v>
      </c>
      <c r="H65" s="5">
        <v>43975</v>
      </c>
    </row>
    <row r="66" spans="1:8" ht="57" customHeight="1" x14ac:dyDescent="0.3">
      <c r="B66" s="10"/>
      <c r="C66" s="10"/>
      <c r="D66" s="10"/>
      <c r="E66" s="10"/>
      <c r="F66" s="10"/>
      <c r="G66" s="10"/>
      <c r="H66" s="12"/>
    </row>
    <row r="67" spans="1:8" ht="16.5" customHeight="1" x14ac:dyDescent="0.3">
      <c r="B67" s="4">
        <f t="array" ref="B67:H67">Días+29+DATE(Calendario5Año,Calendario5MesOpción,1)-WEEKDAY(DATE(Calendario5Año,Calendario5MesOpción,1),DíaDeLaSemanaOpción)</f>
        <v>43976</v>
      </c>
      <c r="C67" s="4">
        <v>43977</v>
      </c>
      <c r="D67" s="4">
        <v>43978</v>
      </c>
      <c r="E67" s="4">
        <v>43979</v>
      </c>
      <c r="F67" s="4">
        <v>43980</v>
      </c>
      <c r="G67" s="4">
        <v>43981</v>
      </c>
      <c r="H67" s="5">
        <v>43982</v>
      </c>
    </row>
    <row r="68" spans="1:8" ht="57" customHeight="1" x14ac:dyDescent="0.3">
      <c r="B68" s="10"/>
      <c r="C68" s="10"/>
      <c r="D68" s="10"/>
      <c r="E68" s="10"/>
      <c r="F68" s="10"/>
      <c r="G68" s="10"/>
      <c r="H68" s="12"/>
    </row>
    <row r="69" spans="1:8" ht="16.5" customHeight="1" x14ac:dyDescent="0.3">
      <c r="B69" s="4">
        <f t="array" ref="B69:C69">Días+36+DATE(Calendario5Año,Calendario5MesOpción,1)-WEEKDAY(DATE(Calendario5Año,Calendario5MesOpción,1),DíaDeLaSemanaOpción)</f>
        <v>43983</v>
      </c>
      <c r="C69" s="4">
        <v>43984</v>
      </c>
      <c r="D69" s="62" t="s">
        <v>1</v>
      </c>
      <c r="E69" s="63"/>
      <c r="F69" s="63"/>
      <c r="G69" s="63"/>
      <c r="H69" s="63"/>
    </row>
    <row r="70" spans="1:8" ht="63.75" customHeight="1" x14ac:dyDescent="0.3">
      <c r="B70" s="10"/>
      <c r="C70" s="10"/>
      <c r="D70" s="64"/>
      <c r="E70" s="64"/>
      <c r="F70" s="64"/>
      <c r="G70" s="64"/>
      <c r="H70" s="64"/>
    </row>
    <row r="71" spans="1:8" ht="54" customHeight="1" x14ac:dyDescent="0.7">
      <c r="A71" s="2"/>
      <c r="B71" s="1">
        <f>YEAR(DATE(Calendario5Año,Calendario5MesOpción+1,1))</f>
        <v>2020</v>
      </c>
      <c r="C71" s="6" t="str">
        <f>TEXT(DATE(Calendario5Año,Calendario5MesOpción+1,1),"mmmm")</f>
        <v>junio</v>
      </c>
      <c r="D71" s="9"/>
      <c r="E71" s="9"/>
      <c r="F71" s="9"/>
      <c r="G71" s="9"/>
      <c r="H71" s="2"/>
    </row>
    <row r="72" spans="1:8" ht="14.25" customHeight="1" x14ac:dyDescent="0.3">
      <c r="A72" s="3"/>
      <c r="B72" s="7" t="str">
        <f>UPPER(TEXT(B73,"dddd"))</f>
        <v>LUNES</v>
      </c>
      <c r="C72" s="8" t="str">
        <f t="shared" ref="C72:H72" si="5">UPPER(TEXT(C73,"dddd"))</f>
        <v>MARTES</v>
      </c>
      <c r="D72" s="7" t="str">
        <f t="shared" si="5"/>
        <v>MIÉRCOLES</v>
      </c>
      <c r="E72" s="8" t="str">
        <f t="shared" si="5"/>
        <v>JUEVES</v>
      </c>
      <c r="F72" s="7" t="str">
        <f t="shared" si="5"/>
        <v>VIERNES</v>
      </c>
      <c r="G72" s="8" t="str">
        <f t="shared" si="5"/>
        <v>SÁBADO</v>
      </c>
      <c r="H72" s="7" t="str">
        <f t="shared" si="5"/>
        <v>DOMINGO</v>
      </c>
    </row>
    <row r="73" spans="1:8" ht="16.5" customHeight="1" x14ac:dyDescent="0.3">
      <c r="B73" s="4">
        <f t="array" ref="B73:H73">Días+1+DATE(Calendario6Año,Calendario6MesOpción,1)-WEEKDAY(DATE(Calendario6Año,Calendario6MesOpción,1),DíaDeLaSemanaOpción)</f>
        <v>43983</v>
      </c>
      <c r="C73" s="4">
        <v>43984</v>
      </c>
      <c r="D73" s="4">
        <v>43985</v>
      </c>
      <c r="E73" s="4">
        <v>43986</v>
      </c>
      <c r="F73" s="4">
        <v>43987</v>
      </c>
      <c r="G73" s="4">
        <v>43988</v>
      </c>
      <c r="H73" s="5">
        <v>43989</v>
      </c>
    </row>
    <row r="74" spans="1:8" ht="56.25" customHeight="1" x14ac:dyDescent="0.3">
      <c r="B74" s="10"/>
      <c r="C74" s="10"/>
      <c r="D74" s="10"/>
      <c r="E74" s="10"/>
      <c r="F74" s="10"/>
      <c r="G74" s="10"/>
      <c r="H74" s="11"/>
    </row>
    <row r="75" spans="1:8" ht="16.5" customHeight="1" x14ac:dyDescent="0.3">
      <c r="B75" s="4">
        <f t="array" ref="B75:H75">Días+8+DATE(Calendario6Año,Calendario6MesOpción,1)-WEEKDAY(DATE(Calendario6Año,Calendario6MesOpción,1),DíaDeLaSemanaOpción)</f>
        <v>43990</v>
      </c>
      <c r="C75" s="4">
        <v>43991</v>
      </c>
      <c r="D75" s="4">
        <v>43992</v>
      </c>
      <c r="E75" s="4">
        <v>43993</v>
      </c>
      <c r="F75" s="4">
        <v>43994</v>
      </c>
      <c r="G75" s="4">
        <v>43995</v>
      </c>
      <c r="H75" s="5">
        <v>43996</v>
      </c>
    </row>
    <row r="76" spans="1:8" ht="56.25" customHeight="1" x14ac:dyDescent="0.3">
      <c r="B76" s="10"/>
      <c r="C76" s="10"/>
      <c r="D76" s="10"/>
      <c r="E76" s="10"/>
      <c r="F76" s="10"/>
      <c r="G76" s="10"/>
      <c r="H76" s="11"/>
    </row>
    <row r="77" spans="1:8" ht="16.5" customHeight="1" x14ac:dyDescent="0.3">
      <c r="B77" s="4">
        <f t="array" ref="B77:H77">Días+15+DATE(Calendario6Año,Calendario6MesOpción,1)-WEEKDAY(DATE(Calendario6Año,Calendario6MesOpción,1),DíaDeLaSemanaOpción)</f>
        <v>43997</v>
      </c>
      <c r="C77" s="4">
        <v>43998</v>
      </c>
      <c r="D77" s="4">
        <v>43999</v>
      </c>
      <c r="E77" s="4">
        <v>44000</v>
      </c>
      <c r="F77" s="4">
        <v>44001</v>
      </c>
      <c r="G77" s="4">
        <v>44002</v>
      </c>
      <c r="H77" s="5">
        <v>44003</v>
      </c>
    </row>
    <row r="78" spans="1:8" ht="56.25" customHeight="1" x14ac:dyDescent="0.3">
      <c r="B78" s="10"/>
      <c r="C78" s="10"/>
      <c r="D78" s="10"/>
      <c r="E78" s="10"/>
      <c r="F78" s="10"/>
      <c r="G78" s="10"/>
      <c r="H78" s="11"/>
    </row>
    <row r="79" spans="1:8" ht="16.5" customHeight="1" x14ac:dyDescent="0.3">
      <c r="B79" s="4">
        <f t="array" ref="B79:H79">Días+22+DATE(Calendario6Año,Calendario6MesOpción,1)-WEEKDAY(DATE(Calendario6Año,Calendario6MesOpción,1),DíaDeLaSemanaOpción)</f>
        <v>44004</v>
      </c>
      <c r="C79" s="4">
        <v>44005</v>
      </c>
      <c r="D79" s="4">
        <v>44006</v>
      </c>
      <c r="E79" s="4">
        <v>44007</v>
      </c>
      <c r="F79" s="4">
        <v>44008</v>
      </c>
      <c r="G79" s="4">
        <v>44009</v>
      </c>
      <c r="H79" s="5">
        <v>44010</v>
      </c>
    </row>
    <row r="80" spans="1:8" ht="56.25" customHeight="1" x14ac:dyDescent="0.3">
      <c r="B80" s="10"/>
      <c r="C80" s="10"/>
      <c r="D80" s="10"/>
      <c r="E80" s="10"/>
      <c r="F80" s="10"/>
      <c r="G80" s="10"/>
      <c r="H80" s="11"/>
    </row>
    <row r="81" spans="1:8" ht="16.5" customHeight="1" x14ac:dyDescent="0.3">
      <c r="B81" s="4">
        <f t="array" ref="B81:H81">Días+29+DATE(Calendario6Año,Calendario6MesOpción,1)-WEEKDAY(DATE(Calendario6Año,Calendario6MesOpción,1),DíaDeLaSemanaOpción)</f>
        <v>44011</v>
      </c>
      <c r="C81" s="4">
        <v>44012</v>
      </c>
      <c r="D81" s="4">
        <v>44013</v>
      </c>
      <c r="E81" s="4">
        <v>44014</v>
      </c>
      <c r="F81" s="4">
        <v>44015</v>
      </c>
      <c r="G81" s="4">
        <v>44016</v>
      </c>
      <c r="H81" s="5">
        <v>44017</v>
      </c>
    </row>
    <row r="82" spans="1:8" ht="57" customHeight="1" x14ac:dyDescent="0.3">
      <c r="B82" s="10"/>
      <c r="C82" s="10"/>
      <c r="D82" s="10"/>
      <c r="E82" s="10"/>
      <c r="F82" s="10"/>
      <c r="G82" s="10"/>
      <c r="H82" s="12"/>
    </row>
    <row r="83" spans="1:8" ht="16.5" customHeight="1" x14ac:dyDescent="0.3">
      <c r="B83" s="4">
        <f t="array" ref="B83:C83">Días+36+DATE(Calendario6Año,Calendario6MesOpción,1)-WEEKDAY(DATE(Calendario6Año,Calendario6MesOpción,1),DíaDeLaSemanaOpción)</f>
        <v>44018</v>
      </c>
      <c r="C83" s="4">
        <v>44019</v>
      </c>
      <c r="D83" s="62" t="s">
        <v>1</v>
      </c>
      <c r="E83" s="63"/>
      <c r="F83" s="63"/>
      <c r="G83" s="63"/>
      <c r="H83" s="63"/>
    </row>
    <row r="84" spans="1:8" ht="63.75" customHeight="1" x14ac:dyDescent="0.3">
      <c r="B84" s="10"/>
      <c r="C84" s="10"/>
      <c r="D84" s="64"/>
      <c r="E84" s="64"/>
      <c r="F84" s="64"/>
      <c r="G84" s="64"/>
      <c r="H84" s="64"/>
    </row>
    <row r="85" spans="1:8" ht="54" customHeight="1" x14ac:dyDescent="0.7">
      <c r="A85" s="2"/>
      <c r="B85" s="1">
        <f>YEAR(DATE(Calendario6Año,Calendario6MesOpción+1,1))</f>
        <v>2020</v>
      </c>
      <c r="C85" s="6" t="str">
        <f>TEXT(DATE(Calendario6Año,Calendario6MesOpción+1,1),"mmmm")</f>
        <v>julio</v>
      </c>
      <c r="D85" s="9"/>
      <c r="E85" s="9"/>
      <c r="F85" s="9"/>
      <c r="G85" s="9"/>
      <c r="H85" s="2"/>
    </row>
    <row r="86" spans="1:8" ht="14.25" customHeight="1" x14ac:dyDescent="0.3">
      <c r="A86" s="3"/>
      <c r="B86" s="7" t="str">
        <f>UPPER(TEXT(B87,"dddd"))</f>
        <v>LUNES</v>
      </c>
      <c r="C86" s="8" t="str">
        <f t="shared" ref="C86:H86" si="6">UPPER(TEXT(C87,"dddd"))</f>
        <v>MARTES</v>
      </c>
      <c r="D86" s="7" t="str">
        <f t="shared" si="6"/>
        <v>MIÉRCOLES</v>
      </c>
      <c r="E86" s="8" t="str">
        <f t="shared" si="6"/>
        <v>JUEVES</v>
      </c>
      <c r="F86" s="7" t="str">
        <f t="shared" si="6"/>
        <v>VIERNES</v>
      </c>
      <c r="G86" s="8" t="str">
        <f t="shared" si="6"/>
        <v>SÁBADO</v>
      </c>
      <c r="H86" s="7" t="str">
        <f t="shared" si="6"/>
        <v>DOMINGO</v>
      </c>
    </row>
    <row r="87" spans="1:8" ht="16.5" customHeight="1" x14ac:dyDescent="0.3">
      <c r="B87" s="4">
        <f t="array" ref="B87:H87">Días+1+DATE(Calendario7Año,Calendario7MesOpción,1)-WEEKDAY(DATE(Calendario7Año,Calendario7MesOpción,1),DíaDeLaSemanaOpción)</f>
        <v>44011</v>
      </c>
      <c r="C87" s="4">
        <v>44012</v>
      </c>
      <c r="D87" s="4">
        <v>44013</v>
      </c>
      <c r="E87" s="4">
        <v>44014</v>
      </c>
      <c r="F87" s="4">
        <v>44015</v>
      </c>
      <c r="G87" s="4">
        <v>44016</v>
      </c>
      <c r="H87" s="5">
        <v>44017</v>
      </c>
    </row>
    <row r="88" spans="1:8" ht="56.25" customHeight="1" x14ac:dyDescent="0.3">
      <c r="B88" s="10"/>
      <c r="C88" s="10"/>
      <c r="D88" s="10"/>
      <c r="E88" s="10"/>
      <c r="F88" s="10"/>
      <c r="G88" s="10"/>
      <c r="H88" s="11"/>
    </row>
    <row r="89" spans="1:8" ht="16.5" customHeight="1" x14ac:dyDescent="0.3">
      <c r="B89" s="4">
        <f t="array" ref="B89:H89">Días+8+DATE(Calendario7Año,Calendario7MesOpción,1)-WEEKDAY(DATE(Calendario7Año,Calendario7MesOpción,1),DíaDeLaSemanaOpción)</f>
        <v>44018</v>
      </c>
      <c r="C89" s="4">
        <v>44019</v>
      </c>
      <c r="D89" s="4">
        <v>44020</v>
      </c>
      <c r="E89" s="4">
        <v>44021</v>
      </c>
      <c r="F89" s="4">
        <v>44022</v>
      </c>
      <c r="G89" s="4">
        <v>44023</v>
      </c>
      <c r="H89" s="5">
        <v>44024</v>
      </c>
    </row>
    <row r="90" spans="1:8" ht="56.25" customHeight="1" x14ac:dyDescent="0.3">
      <c r="B90" s="10"/>
      <c r="C90" s="10"/>
      <c r="D90" s="10"/>
      <c r="E90" s="10"/>
      <c r="F90" s="10"/>
      <c r="G90" s="10"/>
      <c r="H90" s="11"/>
    </row>
    <row r="91" spans="1:8" ht="16.5" customHeight="1" x14ac:dyDescent="0.3">
      <c r="B91" s="4">
        <f t="array" ref="B91:H91">Días+15+DATE(Calendario7Año,Calendario7MesOpción,1)-WEEKDAY(DATE(Calendario7Año,Calendario7MesOpción,1),DíaDeLaSemanaOpción)</f>
        <v>44025</v>
      </c>
      <c r="C91" s="4">
        <v>44026</v>
      </c>
      <c r="D91" s="4">
        <v>44027</v>
      </c>
      <c r="E91" s="4">
        <v>44028</v>
      </c>
      <c r="F91" s="4">
        <v>44029</v>
      </c>
      <c r="G91" s="4">
        <v>44030</v>
      </c>
      <c r="H91" s="5">
        <v>44031</v>
      </c>
    </row>
    <row r="92" spans="1:8" ht="56.25" customHeight="1" x14ac:dyDescent="0.3">
      <c r="B92" s="10"/>
      <c r="C92" s="10"/>
      <c r="D92" s="10"/>
      <c r="E92" s="10"/>
      <c r="F92" s="10"/>
      <c r="G92" s="10"/>
      <c r="H92" s="11"/>
    </row>
    <row r="93" spans="1:8" ht="16.5" customHeight="1" x14ac:dyDescent="0.3">
      <c r="B93" s="4">
        <f t="array" ref="B93:H93">Días+22+DATE(Calendario7Año,Calendario7MesOpción,1)-WEEKDAY(DATE(Calendario7Año,Calendario7MesOpción,1),DíaDeLaSemanaOpción)</f>
        <v>44032</v>
      </c>
      <c r="C93" s="4">
        <v>44033</v>
      </c>
      <c r="D93" s="4">
        <v>44034</v>
      </c>
      <c r="E93" s="4">
        <v>44035</v>
      </c>
      <c r="F93" s="4">
        <v>44036</v>
      </c>
      <c r="G93" s="4">
        <v>44037</v>
      </c>
      <c r="H93" s="5">
        <v>44038</v>
      </c>
    </row>
    <row r="94" spans="1:8" ht="56.25" customHeight="1" x14ac:dyDescent="0.3">
      <c r="B94" s="10"/>
      <c r="C94" s="10"/>
      <c r="D94" s="10"/>
      <c r="E94" s="10"/>
      <c r="F94" s="10"/>
      <c r="G94" s="10"/>
      <c r="H94" s="11"/>
    </row>
    <row r="95" spans="1:8" ht="16.5" customHeight="1" x14ac:dyDescent="0.3">
      <c r="B95" s="4">
        <f t="array" ref="B95:H95">Días+29+DATE(Calendario7Año,Calendario7MesOpción,1)-WEEKDAY(DATE(Calendario7Año,Calendario7MesOpción,1),DíaDeLaSemanaOpción)</f>
        <v>44039</v>
      </c>
      <c r="C95" s="4">
        <v>44040</v>
      </c>
      <c r="D95" s="4">
        <v>44041</v>
      </c>
      <c r="E95" s="4">
        <v>44042</v>
      </c>
      <c r="F95" s="4">
        <v>44043</v>
      </c>
      <c r="G95" s="4">
        <v>44044</v>
      </c>
      <c r="H95" s="5">
        <v>44045</v>
      </c>
    </row>
    <row r="96" spans="1:8" ht="57" customHeight="1" x14ac:dyDescent="0.3">
      <c r="B96" s="10"/>
      <c r="C96" s="10"/>
      <c r="D96" s="10"/>
      <c r="E96" s="10"/>
      <c r="F96" s="10"/>
      <c r="G96" s="10"/>
      <c r="H96" s="12"/>
    </row>
    <row r="97" spans="1:8" ht="16.5" customHeight="1" x14ac:dyDescent="0.3">
      <c r="B97" s="4">
        <f t="array" ref="B97:C97">Días+36+DATE(Calendario7Año,Calendario7MesOpción,1)-WEEKDAY(DATE(Calendario7Año,Calendario7MesOpción,1),DíaDeLaSemanaOpción)</f>
        <v>44046</v>
      </c>
      <c r="C97" s="4">
        <v>44047</v>
      </c>
      <c r="D97" s="62" t="s">
        <v>1</v>
      </c>
      <c r="E97" s="63"/>
      <c r="F97" s="63"/>
      <c r="G97" s="63"/>
      <c r="H97" s="63"/>
    </row>
    <row r="98" spans="1:8" ht="63.75" customHeight="1" x14ac:dyDescent="0.3">
      <c r="B98" s="10"/>
      <c r="C98" s="10"/>
      <c r="D98" s="64"/>
      <c r="E98" s="64"/>
      <c r="F98" s="64"/>
      <c r="G98" s="64"/>
      <c r="H98" s="64"/>
    </row>
    <row r="99" spans="1:8" ht="54" customHeight="1" x14ac:dyDescent="0.7">
      <c r="A99" s="2"/>
      <c r="B99" s="1">
        <f>YEAR(DATE(Calendario7Año,Calendario7MesOpción+1,1))</f>
        <v>2020</v>
      </c>
      <c r="C99" s="6" t="str">
        <f>TEXT(DATE(Calendario7Año,Calendario7MesOpción+1,1),"mmmm")</f>
        <v>agosto</v>
      </c>
      <c r="D99" s="9"/>
      <c r="E99" s="9"/>
      <c r="F99" s="9"/>
      <c r="G99" s="9"/>
      <c r="H99" s="2"/>
    </row>
    <row r="100" spans="1:8" ht="14.25" customHeight="1" x14ac:dyDescent="0.3">
      <c r="A100" s="3"/>
      <c r="B100" s="7" t="str">
        <f>UPPER(TEXT(B101,"dddd"))</f>
        <v>LUNES</v>
      </c>
      <c r="C100" s="8" t="str">
        <f t="shared" ref="C100:H100" si="7">UPPER(TEXT(C101,"dddd"))</f>
        <v>MARTES</v>
      </c>
      <c r="D100" s="7" t="str">
        <f t="shared" si="7"/>
        <v>MIÉRCOLES</v>
      </c>
      <c r="E100" s="8" t="str">
        <f t="shared" si="7"/>
        <v>JUEVES</v>
      </c>
      <c r="F100" s="7" t="str">
        <f t="shared" si="7"/>
        <v>VIERNES</v>
      </c>
      <c r="G100" s="8" t="str">
        <f t="shared" si="7"/>
        <v>SÁBADO</v>
      </c>
      <c r="H100" s="7" t="str">
        <f t="shared" si="7"/>
        <v>DOMINGO</v>
      </c>
    </row>
    <row r="101" spans="1:8" ht="16.5" customHeight="1" x14ac:dyDescent="0.3">
      <c r="B101" s="4">
        <f t="array" ref="B101:H101">Días+1+DATE(Calendario8Año,Calendario8MesOpción,1)-WEEKDAY(DATE(Calendario8Año,Calendario8MesOpción,1),DíaDeLaSemanaOpción)</f>
        <v>44039</v>
      </c>
      <c r="C101" s="4">
        <v>44040</v>
      </c>
      <c r="D101" s="4">
        <v>44041</v>
      </c>
      <c r="E101" s="4">
        <v>44042</v>
      </c>
      <c r="F101" s="4">
        <v>44043</v>
      </c>
      <c r="G101" s="4">
        <v>44044</v>
      </c>
      <c r="H101" s="5">
        <v>44045</v>
      </c>
    </row>
    <row r="102" spans="1:8" ht="56.25" customHeight="1" x14ac:dyDescent="0.3">
      <c r="B102" s="10"/>
      <c r="C102" s="10"/>
      <c r="D102" s="10"/>
      <c r="E102" s="10"/>
      <c r="F102" s="10"/>
      <c r="G102" s="10"/>
      <c r="H102" s="11"/>
    </row>
    <row r="103" spans="1:8" ht="16.5" customHeight="1" x14ac:dyDescent="0.3">
      <c r="B103" s="4">
        <f t="array" ref="B103:H103">Días+8+DATE(Calendario8Año,Calendario8MesOpción,1)-WEEKDAY(DATE(Calendario8Año,Calendario8MesOpción,1),DíaDeLaSemanaOpción)</f>
        <v>44046</v>
      </c>
      <c r="C103" s="4">
        <v>44047</v>
      </c>
      <c r="D103" s="4">
        <v>44048</v>
      </c>
      <c r="E103" s="4">
        <v>44049</v>
      </c>
      <c r="F103" s="4">
        <v>44050</v>
      </c>
      <c r="G103" s="4">
        <v>44051</v>
      </c>
      <c r="H103" s="5">
        <v>44052</v>
      </c>
    </row>
    <row r="104" spans="1:8" ht="56.25" customHeight="1" x14ac:dyDescent="0.3">
      <c r="B104" s="10"/>
      <c r="C104" s="10"/>
      <c r="D104" s="10"/>
      <c r="E104" s="10"/>
      <c r="F104" s="10"/>
      <c r="G104" s="10"/>
      <c r="H104" s="11"/>
    </row>
    <row r="105" spans="1:8" ht="16.5" customHeight="1" x14ac:dyDescent="0.3">
      <c r="B105" s="4">
        <f t="array" ref="B105:H105">Días+15+DATE(Calendario8Año,Calendario8MesOpción,1)-WEEKDAY(DATE(Calendario8Año,Calendario8MesOpción,1),DíaDeLaSemanaOpción)</f>
        <v>44053</v>
      </c>
      <c r="C105" s="4">
        <v>44054</v>
      </c>
      <c r="D105" s="4">
        <v>44055</v>
      </c>
      <c r="E105" s="4">
        <v>44056</v>
      </c>
      <c r="F105" s="4">
        <v>44057</v>
      </c>
      <c r="G105" s="4">
        <v>44058</v>
      </c>
      <c r="H105" s="5">
        <v>44059</v>
      </c>
    </row>
    <row r="106" spans="1:8" ht="56.25" customHeight="1" x14ac:dyDescent="0.3">
      <c r="B106" s="10"/>
      <c r="C106" s="10"/>
      <c r="D106" s="10"/>
      <c r="E106" s="10"/>
      <c r="F106" s="10"/>
      <c r="G106" s="10"/>
      <c r="H106" s="11"/>
    </row>
    <row r="107" spans="1:8" ht="16.5" customHeight="1" x14ac:dyDescent="0.3">
      <c r="B107" s="4">
        <f t="array" ref="B107:H107">Días+22+DATE(Calendario8Año,Calendario8MesOpción,1)-WEEKDAY(DATE(Calendario8Año,Calendario8MesOpción,1),DíaDeLaSemanaOpción)</f>
        <v>44060</v>
      </c>
      <c r="C107" s="4">
        <v>44061</v>
      </c>
      <c r="D107" s="4">
        <v>44062</v>
      </c>
      <c r="E107" s="4">
        <v>44063</v>
      </c>
      <c r="F107" s="4">
        <v>44064</v>
      </c>
      <c r="G107" s="4">
        <v>44065</v>
      </c>
      <c r="H107" s="5">
        <v>44066</v>
      </c>
    </row>
    <row r="108" spans="1:8" ht="56.25" customHeight="1" x14ac:dyDescent="0.3">
      <c r="B108" s="10"/>
      <c r="C108" s="10"/>
      <c r="D108" s="10"/>
      <c r="E108" s="10"/>
      <c r="F108" s="10"/>
      <c r="G108" s="10"/>
      <c r="H108" s="11"/>
    </row>
    <row r="109" spans="1:8" ht="16.5" customHeight="1" x14ac:dyDescent="0.3">
      <c r="B109" s="4">
        <f t="array" ref="B109:H109">Días+29+DATE(Calendario8Año,Calendario8MesOpción,1)-WEEKDAY(DATE(Calendario8Año,Calendario8MesOpción,1),DíaDeLaSemanaOpción)</f>
        <v>44067</v>
      </c>
      <c r="C109" s="4">
        <v>44068</v>
      </c>
      <c r="D109" s="4">
        <v>44069</v>
      </c>
      <c r="E109" s="4">
        <v>44070</v>
      </c>
      <c r="F109" s="4">
        <v>44071</v>
      </c>
      <c r="G109" s="4">
        <v>44072</v>
      </c>
      <c r="H109" s="5">
        <v>44073</v>
      </c>
    </row>
    <row r="110" spans="1:8" ht="57" customHeight="1" x14ac:dyDescent="0.3">
      <c r="B110" s="10"/>
      <c r="C110" s="10"/>
      <c r="D110" s="10"/>
      <c r="E110" s="10"/>
      <c r="F110" s="10"/>
      <c r="G110" s="10"/>
      <c r="H110" s="12"/>
    </row>
    <row r="111" spans="1:8" ht="16.5" customHeight="1" x14ac:dyDescent="0.3">
      <c r="B111" s="4">
        <f t="array" ref="B111:C111">Días+36+DATE(Calendario8Año,Calendario8MesOpción,1)-WEEKDAY(DATE(Calendario8Año,Calendario8MesOpción,1),DíaDeLaSemanaOpción)</f>
        <v>44074</v>
      </c>
      <c r="C111" s="4">
        <v>44075</v>
      </c>
      <c r="D111" s="62" t="s">
        <v>1</v>
      </c>
      <c r="E111" s="63"/>
      <c r="F111" s="63"/>
      <c r="G111" s="63"/>
      <c r="H111" s="63"/>
    </row>
    <row r="112" spans="1:8" ht="63.75" customHeight="1" x14ac:dyDescent="0.3">
      <c r="B112" s="10"/>
      <c r="C112" s="10"/>
      <c r="D112" s="64"/>
      <c r="E112" s="64"/>
      <c r="F112" s="64"/>
      <c r="G112" s="64"/>
      <c r="H112" s="64"/>
    </row>
    <row r="113" spans="1:8" ht="54" customHeight="1" x14ac:dyDescent="0.7">
      <c r="A113" s="2"/>
      <c r="B113" s="1">
        <f>YEAR(DATE(Calendario8Año,Calendario8MesOpción+1,1))</f>
        <v>2020</v>
      </c>
      <c r="C113" s="6" t="str">
        <f>TEXT(DATE(Calendario8Año,Calendario8MesOpción+1,1),"mmmm")</f>
        <v>septiembre</v>
      </c>
      <c r="D113" s="9"/>
      <c r="E113" s="9"/>
      <c r="F113" s="9"/>
      <c r="G113" s="9"/>
      <c r="H113" s="2"/>
    </row>
    <row r="114" spans="1:8" ht="14.25" customHeight="1" x14ac:dyDescent="0.3">
      <c r="A114" s="3"/>
      <c r="B114" s="7" t="str">
        <f>UPPER(TEXT(B115,"dddd"))</f>
        <v>LUNES</v>
      </c>
      <c r="C114" s="8" t="str">
        <f t="shared" ref="C114:H114" si="8">UPPER(TEXT(C115,"dddd"))</f>
        <v>MARTES</v>
      </c>
      <c r="D114" s="7" t="str">
        <f t="shared" si="8"/>
        <v>MIÉRCOLES</v>
      </c>
      <c r="E114" s="8" t="str">
        <f t="shared" si="8"/>
        <v>JUEVES</v>
      </c>
      <c r="F114" s="7" t="str">
        <f t="shared" si="8"/>
        <v>VIERNES</v>
      </c>
      <c r="G114" s="8" t="str">
        <f t="shared" si="8"/>
        <v>SÁBADO</v>
      </c>
      <c r="H114" s="7" t="str">
        <f t="shared" si="8"/>
        <v>DOMINGO</v>
      </c>
    </row>
    <row r="115" spans="1:8" ht="16.5" customHeight="1" x14ac:dyDescent="0.3">
      <c r="B115" s="4">
        <f t="array" ref="B115:H115">Días+1+DATE(Calendario9Año,Calendario9MesOpción,1)-WEEKDAY(DATE(Calendario9Año,Calendario9MesOpción,1),DíaDeLaSemanaOpción)</f>
        <v>44074</v>
      </c>
      <c r="C115" s="4">
        <v>44075</v>
      </c>
      <c r="D115" s="4">
        <v>44076</v>
      </c>
      <c r="E115" s="4">
        <v>44077</v>
      </c>
      <c r="F115" s="4">
        <v>44078</v>
      </c>
      <c r="G115" s="4">
        <v>44079</v>
      </c>
      <c r="H115" s="5">
        <v>44080</v>
      </c>
    </row>
    <row r="116" spans="1:8" ht="56.25" customHeight="1" x14ac:dyDescent="0.3">
      <c r="B116" s="10"/>
      <c r="C116" s="10"/>
      <c r="D116" s="10"/>
      <c r="E116" s="10"/>
      <c r="F116" s="10"/>
      <c r="G116" s="10"/>
      <c r="H116" s="11"/>
    </row>
    <row r="117" spans="1:8" ht="16.5" customHeight="1" x14ac:dyDescent="0.3">
      <c r="B117" s="4">
        <f t="array" ref="B117:H117">Días+8+DATE(Calendario9Año,Calendario9MesOpción,1)-WEEKDAY(DATE(Calendario9Año,Calendario9MesOpción,1),DíaDeLaSemanaOpción)</f>
        <v>44081</v>
      </c>
      <c r="C117" s="4">
        <v>44082</v>
      </c>
      <c r="D117" s="4">
        <v>44083</v>
      </c>
      <c r="E117" s="4">
        <v>44084</v>
      </c>
      <c r="F117" s="4">
        <v>44085</v>
      </c>
      <c r="G117" s="4">
        <v>44086</v>
      </c>
      <c r="H117" s="5">
        <v>44087</v>
      </c>
    </row>
    <row r="118" spans="1:8" ht="56.25" customHeight="1" x14ac:dyDescent="0.3">
      <c r="B118" s="10"/>
      <c r="C118" s="10"/>
      <c r="D118" s="10"/>
      <c r="E118" s="10"/>
      <c r="F118" s="10"/>
      <c r="G118" s="10"/>
      <c r="H118" s="11"/>
    </row>
    <row r="119" spans="1:8" ht="16.5" customHeight="1" x14ac:dyDescent="0.3">
      <c r="B119" s="4">
        <f t="array" ref="B119:H119">Días+15+DATE(Calendario9Año,Calendario9MesOpción,1)-WEEKDAY(DATE(Calendario9Año,Calendario9MesOpción,1),DíaDeLaSemanaOpción)</f>
        <v>44088</v>
      </c>
      <c r="C119" s="4">
        <v>44089</v>
      </c>
      <c r="D119" s="4">
        <v>44090</v>
      </c>
      <c r="E119" s="4">
        <v>44091</v>
      </c>
      <c r="F119" s="4">
        <v>44092</v>
      </c>
      <c r="G119" s="4">
        <v>44093</v>
      </c>
      <c r="H119" s="5">
        <v>44094</v>
      </c>
    </row>
    <row r="120" spans="1:8" ht="56.25" customHeight="1" x14ac:dyDescent="0.3">
      <c r="B120" s="10"/>
      <c r="C120" s="10"/>
      <c r="D120" s="10"/>
      <c r="E120" s="10"/>
      <c r="F120" s="10"/>
      <c r="G120" s="10"/>
      <c r="H120" s="11"/>
    </row>
    <row r="121" spans="1:8" ht="16.5" customHeight="1" x14ac:dyDescent="0.3">
      <c r="B121" s="4">
        <f t="array" ref="B121:H121">Días+22+DATE(Calendario9Año,Calendario9MesOpción,1)-WEEKDAY(DATE(Calendario9Año,Calendario9MesOpción,1),DíaDeLaSemanaOpción)</f>
        <v>44095</v>
      </c>
      <c r="C121" s="4">
        <v>44096</v>
      </c>
      <c r="D121" s="4">
        <v>44097</v>
      </c>
      <c r="E121" s="4">
        <v>44098</v>
      </c>
      <c r="F121" s="4">
        <v>44099</v>
      </c>
      <c r="G121" s="4">
        <v>44100</v>
      </c>
      <c r="H121" s="5">
        <v>44101</v>
      </c>
    </row>
    <row r="122" spans="1:8" ht="56.25" customHeight="1" x14ac:dyDescent="0.3">
      <c r="B122" s="10"/>
      <c r="C122" s="10"/>
      <c r="D122" s="10"/>
      <c r="E122" s="10"/>
      <c r="F122" s="10"/>
      <c r="G122" s="10"/>
      <c r="H122" s="11"/>
    </row>
    <row r="123" spans="1:8" ht="16.5" customHeight="1" x14ac:dyDescent="0.3">
      <c r="B123" s="4">
        <f t="array" ref="B123:H123">Días+29+DATE(Calendario9Año,Calendario9MesOpción,1)-WEEKDAY(DATE(Calendario9Año,Calendario9MesOpción,1),DíaDeLaSemanaOpción)</f>
        <v>44102</v>
      </c>
      <c r="C123" s="4">
        <v>44103</v>
      </c>
      <c r="D123" s="4">
        <v>44104</v>
      </c>
      <c r="E123" s="4">
        <v>44105</v>
      </c>
      <c r="F123" s="4">
        <v>44106</v>
      </c>
      <c r="G123" s="4">
        <v>44107</v>
      </c>
      <c r="H123" s="5">
        <v>44108</v>
      </c>
    </row>
    <row r="124" spans="1:8" ht="57" customHeight="1" x14ac:dyDescent="0.3">
      <c r="B124" s="10"/>
      <c r="C124" s="10"/>
      <c r="D124" s="10"/>
      <c r="E124" s="10"/>
      <c r="F124" s="10"/>
      <c r="G124" s="10"/>
      <c r="H124" s="12"/>
    </row>
    <row r="125" spans="1:8" ht="16.5" customHeight="1" x14ac:dyDescent="0.3">
      <c r="B125" s="4">
        <f t="array" ref="B125:C125">Días+36+DATE(Calendario9Año,Calendario9MesOpción,1)-WEEKDAY(DATE(Calendario9Año,Calendario9MesOpción,1),DíaDeLaSemanaOpción)</f>
        <v>44109</v>
      </c>
      <c r="C125" s="4">
        <v>44110</v>
      </c>
      <c r="D125" s="62" t="s">
        <v>1</v>
      </c>
      <c r="E125" s="63"/>
      <c r="F125" s="63"/>
      <c r="G125" s="63"/>
      <c r="H125" s="63"/>
    </row>
    <row r="126" spans="1:8" ht="63.75" customHeight="1" x14ac:dyDescent="0.3">
      <c r="B126" s="10"/>
      <c r="C126" s="10"/>
      <c r="D126" s="64"/>
      <c r="E126" s="64"/>
      <c r="F126" s="64"/>
      <c r="G126" s="64"/>
      <c r="H126" s="64"/>
    </row>
    <row r="127" spans="1:8" ht="54" customHeight="1" x14ac:dyDescent="0.7">
      <c r="A127" s="2"/>
      <c r="B127" s="1">
        <f>YEAR(DATE(Calendario9Año,Calendario9MesOpción+1,1))</f>
        <v>2020</v>
      </c>
      <c r="C127" s="6" t="str">
        <f>TEXT(DATE(Calendario9Año,Calendario9MesOpción+1,1),"mmmm")</f>
        <v>octubre</v>
      </c>
      <c r="D127" s="9"/>
      <c r="E127" s="9"/>
      <c r="F127" s="9"/>
      <c r="G127" s="9"/>
      <c r="H127" s="2"/>
    </row>
    <row r="128" spans="1:8" ht="14.25" customHeight="1" x14ac:dyDescent="0.3">
      <c r="A128" s="3"/>
      <c r="B128" s="7" t="str">
        <f>UPPER(TEXT(B129,"dddd"))</f>
        <v>LUNES</v>
      </c>
      <c r="C128" s="8" t="str">
        <f t="shared" ref="C128:H128" si="9">UPPER(TEXT(C129,"dddd"))</f>
        <v>MARTES</v>
      </c>
      <c r="D128" s="7" t="str">
        <f t="shared" si="9"/>
        <v>MIÉRCOLES</v>
      </c>
      <c r="E128" s="8" t="str">
        <f t="shared" si="9"/>
        <v>JUEVES</v>
      </c>
      <c r="F128" s="7" t="str">
        <f t="shared" si="9"/>
        <v>VIERNES</v>
      </c>
      <c r="G128" s="8" t="str">
        <f t="shared" si="9"/>
        <v>SÁBADO</v>
      </c>
      <c r="H128" s="7" t="str">
        <f t="shared" si="9"/>
        <v>DOMINGO</v>
      </c>
    </row>
    <row r="129" spans="2:8" ht="16.5" customHeight="1" x14ac:dyDescent="0.3">
      <c r="B129" s="4">
        <f t="array" ref="B129:H129">Días+1+DATE(Calendario10Año,Calendario10MesOpción,1)-WEEKDAY(DATE(Calendario10Año,Calendario10MesOpción,1),DíaDeLaSemanaOpción)</f>
        <v>44102</v>
      </c>
      <c r="C129" s="4">
        <v>44103</v>
      </c>
      <c r="D129" s="4">
        <v>44104</v>
      </c>
      <c r="E129" s="4">
        <v>44105</v>
      </c>
      <c r="F129" s="4">
        <v>44106</v>
      </c>
      <c r="G129" s="4">
        <v>44107</v>
      </c>
      <c r="H129" s="5">
        <v>44108</v>
      </c>
    </row>
    <row r="130" spans="2:8" ht="56.25" customHeight="1" x14ac:dyDescent="0.3">
      <c r="B130" s="10"/>
      <c r="C130" s="10"/>
      <c r="D130" s="10"/>
      <c r="E130" s="10"/>
      <c r="F130" s="10"/>
      <c r="G130" s="10"/>
      <c r="H130" s="11"/>
    </row>
    <row r="131" spans="2:8" ht="16.5" customHeight="1" x14ac:dyDescent="0.3">
      <c r="B131" s="4">
        <f t="array" ref="B131:H131">Días+8+DATE(Calendario10Año,Calendario10MesOpción,1)-WEEKDAY(DATE(Calendario10Año,Calendario10MesOpción,1),DíaDeLaSemanaOpción)</f>
        <v>44109</v>
      </c>
      <c r="C131" s="4">
        <v>44110</v>
      </c>
      <c r="D131" s="4">
        <v>44111</v>
      </c>
      <c r="E131" s="4">
        <v>44112</v>
      </c>
      <c r="F131" s="4">
        <v>44113</v>
      </c>
      <c r="G131" s="4">
        <v>44114</v>
      </c>
      <c r="H131" s="5">
        <v>44115</v>
      </c>
    </row>
    <row r="132" spans="2:8" ht="56.25" customHeight="1" x14ac:dyDescent="0.3">
      <c r="B132" s="10"/>
      <c r="C132" s="10"/>
      <c r="D132" s="10"/>
      <c r="E132" s="10"/>
      <c r="F132" s="10"/>
      <c r="G132" s="10"/>
      <c r="H132" s="11"/>
    </row>
    <row r="133" spans="2:8" ht="16.5" customHeight="1" x14ac:dyDescent="0.3">
      <c r="B133" s="4">
        <f t="array" ref="B133:H133">Días+15+DATE(Calendario10Año,Calendario10MesOpción,1)-WEEKDAY(DATE(Calendario10Año,Calendario10MesOpción,1),DíaDeLaSemanaOpción)</f>
        <v>44116</v>
      </c>
      <c r="C133" s="4">
        <v>44117</v>
      </c>
      <c r="D133" s="4">
        <v>44118</v>
      </c>
      <c r="E133" s="4">
        <v>44119</v>
      </c>
      <c r="F133" s="4">
        <v>44120</v>
      </c>
      <c r="G133" s="4">
        <v>44121</v>
      </c>
      <c r="H133" s="5">
        <v>44122</v>
      </c>
    </row>
    <row r="134" spans="2:8" ht="56.25" customHeight="1" x14ac:dyDescent="0.3">
      <c r="B134" s="10"/>
      <c r="C134" s="10"/>
      <c r="D134" s="10"/>
      <c r="E134" s="10"/>
      <c r="F134" s="10"/>
      <c r="G134" s="10"/>
      <c r="H134" s="11"/>
    </row>
    <row r="135" spans="2:8" ht="16.5" customHeight="1" x14ac:dyDescent="0.3">
      <c r="B135" s="4">
        <f t="array" ref="B135:H135">Días+22+DATE(Calendario10Año,Calendario10MesOpción,1)-WEEKDAY(DATE(Calendario10Año,Calendario10MesOpción,1),DíaDeLaSemanaOpción)</f>
        <v>44123</v>
      </c>
      <c r="C135" s="4">
        <v>44124</v>
      </c>
      <c r="D135" s="4">
        <v>44125</v>
      </c>
      <c r="E135" s="4">
        <v>44126</v>
      </c>
      <c r="F135" s="4">
        <v>44127</v>
      </c>
      <c r="G135" s="4">
        <v>44128</v>
      </c>
      <c r="H135" s="5">
        <v>44129</v>
      </c>
    </row>
    <row r="136" spans="2:8" ht="56.25" customHeight="1" x14ac:dyDescent="0.3">
      <c r="B136" s="10"/>
      <c r="C136" s="10"/>
      <c r="D136" s="10"/>
      <c r="E136" s="10"/>
      <c r="F136" s="10"/>
      <c r="G136" s="10"/>
      <c r="H136" s="11"/>
    </row>
    <row r="137" spans="2:8" ht="16.5" customHeight="1" x14ac:dyDescent="0.3">
      <c r="B137" s="4">
        <f t="array" ref="B137:H137">Días+29+DATE(Calendario10Año,Calendario10MesOpción,1)-WEEKDAY(DATE(Calendario10Año,Calendario10MesOpción,1),DíaDeLaSemanaOpción)</f>
        <v>44130</v>
      </c>
      <c r="C137" s="4">
        <v>44131</v>
      </c>
      <c r="D137" s="4">
        <v>44132</v>
      </c>
      <c r="E137" s="4">
        <v>44133</v>
      </c>
      <c r="F137" s="4">
        <v>44134</v>
      </c>
      <c r="G137" s="4">
        <v>44135</v>
      </c>
      <c r="H137" s="5">
        <v>44136</v>
      </c>
    </row>
    <row r="138" spans="2:8" ht="57" customHeight="1" x14ac:dyDescent="0.3">
      <c r="B138" s="10"/>
      <c r="C138" s="10"/>
      <c r="D138" s="10"/>
      <c r="E138" s="10"/>
      <c r="F138" s="10"/>
      <c r="G138" s="10"/>
      <c r="H138" s="12"/>
    </row>
    <row r="139" spans="2:8" ht="16.5" customHeight="1" x14ac:dyDescent="0.3">
      <c r="B139" s="4">
        <f t="array" ref="B139:C139">Días+36+DATE(Calendario10Año,Calendario10MesOpción,1)-WEEKDAY(DATE(Calendario10Año,Calendario10MesOpción,1),DíaDeLaSemanaOpción)</f>
        <v>44137</v>
      </c>
      <c r="C139" s="4">
        <v>44138</v>
      </c>
      <c r="D139" s="62" t="s">
        <v>1</v>
      </c>
      <c r="E139" s="63"/>
      <c r="F139" s="63"/>
      <c r="G139" s="63"/>
      <c r="H139" s="63"/>
    </row>
    <row r="140" spans="2:8" ht="63.75" customHeight="1" x14ac:dyDescent="0.3">
      <c r="B140" s="10"/>
      <c r="C140" s="10"/>
      <c r="D140" s="64"/>
      <c r="E140" s="64"/>
      <c r="F140" s="64"/>
      <c r="G140" s="64"/>
      <c r="H140" s="64"/>
    </row>
    <row r="141" spans="2:8" ht="54" customHeight="1" x14ac:dyDescent="0.7">
      <c r="B141" s="1">
        <f>YEAR(DATE(Calendario10Año,Calendario10MesOpción+1,1))</f>
        <v>2020</v>
      </c>
      <c r="C141" s="6" t="str">
        <f>TEXT(DATE(Calendario10Año,Calendario10MesOpción+1,1),"mmmm")</f>
        <v>noviembre</v>
      </c>
      <c r="D141" s="9"/>
      <c r="E141" s="9"/>
      <c r="F141" s="9"/>
      <c r="G141" s="9"/>
      <c r="H141" s="2"/>
    </row>
    <row r="142" spans="2:8" ht="14.25" customHeight="1" x14ac:dyDescent="0.3">
      <c r="B142" s="7" t="str">
        <f>UPPER(TEXT(B143,"dddd"))</f>
        <v>LUNES</v>
      </c>
      <c r="C142" s="8" t="str">
        <f t="shared" ref="C142:H142" si="10">UPPER(TEXT(C143,"dddd"))</f>
        <v>MARTES</v>
      </c>
      <c r="D142" s="7" t="str">
        <f t="shared" si="10"/>
        <v>MIÉRCOLES</v>
      </c>
      <c r="E142" s="8" t="str">
        <f t="shared" si="10"/>
        <v>JUEVES</v>
      </c>
      <c r="F142" s="7" t="str">
        <f t="shared" si="10"/>
        <v>VIERNES</v>
      </c>
      <c r="G142" s="8" t="str">
        <f t="shared" si="10"/>
        <v>SÁBADO</v>
      </c>
      <c r="H142" s="7" t="str">
        <f t="shared" si="10"/>
        <v>DOMINGO</v>
      </c>
    </row>
    <row r="143" spans="2:8" ht="16.5" customHeight="1" x14ac:dyDescent="0.3">
      <c r="B143" s="4">
        <f t="array" ref="B143:H143">Días+1+DATE(Calendario11Año,Calendario11MesOpción,1)-WEEKDAY(DATE(Calendario11Año,Calendario11MesOpción,1),DíaDeLaSemanaOpción)</f>
        <v>44130</v>
      </c>
      <c r="C143" s="4">
        <v>44131</v>
      </c>
      <c r="D143" s="4">
        <v>44132</v>
      </c>
      <c r="E143" s="4">
        <v>44133</v>
      </c>
      <c r="F143" s="4">
        <v>44134</v>
      </c>
      <c r="G143" s="4">
        <v>44135</v>
      </c>
      <c r="H143" s="5">
        <v>44136</v>
      </c>
    </row>
    <row r="144" spans="2:8" ht="56.25" customHeight="1" x14ac:dyDescent="0.3">
      <c r="B144" s="10"/>
      <c r="C144" s="10"/>
      <c r="D144" s="10"/>
      <c r="E144" s="10"/>
      <c r="F144" s="10"/>
      <c r="G144" s="10"/>
      <c r="H144" s="11"/>
    </row>
    <row r="145" spans="2:8" ht="16.5" customHeight="1" x14ac:dyDescent="0.3">
      <c r="B145" s="4">
        <f t="array" ref="B145:H145">Días+8+DATE(Calendario11Año,Calendario11MesOpción,1)-WEEKDAY(DATE(Calendario11Año,Calendario11MesOpción,1),DíaDeLaSemanaOpción)</f>
        <v>44137</v>
      </c>
      <c r="C145" s="4">
        <v>44138</v>
      </c>
      <c r="D145" s="4">
        <v>44139</v>
      </c>
      <c r="E145" s="4">
        <v>44140</v>
      </c>
      <c r="F145" s="4">
        <v>44141</v>
      </c>
      <c r="G145" s="4">
        <v>44142</v>
      </c>
      <c r="H145" s="5">
        <v>44143</v>
      </c>
    </row>
    <row r="146" spans="2:8" ht="56.25" customHeight="1" x14ac:dyDescent="0.3">
      <c r="B146" s="10"/>
      <c r="C146" s="10"/>
      <c r="D146" s="10"/>
      <c r="E146" s="10"/>
      <c r="F146" s="10"/>
      <c r="G146" s="10"/>
      <c r="H146" s="11"/>
    </row>
    <row r="147" spans="2:8" ht="16.5" customHeight="1" x14ac:dyDescent="0.3">
      <c r="B147" s="4">
        <f t="array" ref="B147:H147">Días+15+DATE(Calendario11Año,Calendario11MesOpción,1)-WEEKDAY(DATE(Calendario11Año,Calendario11MesOpción,1),DíaDeLaSemanaOpción)</f>
        <v>44144</v>
      </c>
      <c r="C147" s="4">
        <v>44145</v>
      </c>
      <c r="D147" s="4">
        <v>44146</v>
      </c>
      <c r="E147" s="4">
        <v>44147</v>
      </c>
      <c r="F147" s="4">
        <v>44148</v>
      </c>
      <c r="G147" s="4">
        <v>44149</v>
      </c>
      <c r="H147" s="5">
        <v>44150</v>
      </c>
    </row>
    <row r="148" spans="2:8" ht="56.25" customHeight="1" x14ac:dyDescent="0.3">
      <c r="B148" s="10"/>
      <c r="C148" s="10"/>
      <c r="D148" s="10"/>
      <c r="E148" s="10"/>
      <c r="F148" s="10"/>
      <c r="G148" s="10"/>
      <c r="H148" s="11"/>
    </row>
    <row r="149" spans="2:8" ht="16.5" customHeight="1" x14ac:dyDescent="0.3">
      <c r="B149" s="4">
        <f t="array" ref="B149:H149">Días+22+DATE(Calendario11Año,Calendario11MesOpción,1)-WEEKDAY(DATE(Calendario11Año,Calendario11MesOpción,1),DíaDeLaSemanaOpción)</f>
        <v>44151</v>
      </c>
      <c r="C149" s="4">
        <v>44152</v>
      </c>
      <c r="D149" s="4">
        <v>44153</v>
      </c>
      <c r="E149" s="4">
        <v>44154</v>
      </c>
      <c r="F149" s="4">
        <v>44155</v>
      </c>
      <c r="G149" s="4">
        <v>44156</v>
      </c>
      <c r="H149" s="5">
        <v>44157</v>
      </c>
    </row>
    <row r="150" spans="2:8" ht="56.25" customHeight="1" x14ac:dyDescent="0.3">
      <c r="B150" s="10"/>
      <c r="C150" s="10"/>
      <c r="D150" s="10"/>
      <c r="E150" s="10"/>
      <c r="F150" s="10"/>
      <c r="G150" s="10"/>
      <c r="H150" s="11"/>
    </row>
    <row r="151" spans="2:8" ht="16.5" customHeight="1" x14ac:dyDescent="0.3">
      <c r="B151" s="4">
        <f t="array" ref="B151:H151">Días+29+DATE(Calendario11Año,Calendario11MesOpción,1)-WEEKDAY(DATE(Calendario11Año,Calendario11MesOpción,1),DíaDeLaSemanaOpción)</f>
        <v>44158</v>
      </c>
      <c r="C151" s="4">
        <v>44159</v>
      </c>
      <c r="D151" s="4">
        <v>44160</v>
      </c>
      <c r="E151" s="4">
        <v>44161</v>
      </c>
      <c r="F151" s="4">
        <v>44162</v>
      </c>
      <c r="G151" s="4">
        <v>44163</v>
      </c>
      <c r="H151" s="5">
        <v>44164</v>
      </c>
    </row>
    <row r="152" spans="2:8" ht="57" customHeight="1" x14ac:dyDescent="0.3">
      <c r="B152" s="10"/>
      <c r="C152" s="10"/>
      <c r="D152" s="10"/>
      <c r="E152" s="10"/>
      <c r="F152" s="10"/>
      <c r="G152" s="10"/>
      <c r="H152" s="12"/>
    </row>
    <row r="153" spans="2:8" ht="16.5" customHeight="1" x14ac:dyDescent="0.3">
      <c r="B153" s="4">
        <f t="array" ref="B153:C153">Días+36+DATE(Calendario11Año,Calendario11MesOpción,1)-WEEKDAY(DATE(Calendario11Año,Calendario11MesOpción,1),DíaDeLaSemanaOpción)</f>
        <v>44165</v>
      </c>
      <c r="C153" s="4">
        <v>44166</v>
      </c>
      <c r="D153" s="62" t="s">
        <v>1</v>
      </c>
      <c r="E153" s="63"/>
      <c r="F153" s="63"/>
      <c r="G153" s="63"/>
      <c r="H153" s="63"/>
    </row>
    <row r="154" spans="2:8" ht="63.75" customHeight="1" x14ac:dyDescent="0.3">
      <c r="B154" s="10"/>
      <c r="C154" s="10"/>
      <c r="D154" s="64"/>
      <c r="E154" s="64"/>
      <c r="F154" s="64"/>
      <c r="G154" s="64"/>
      <c r="H154" s="64"/>
    </row>
    <row r="155" spans="2:8" ht="54" customHeight="1" x14ac:dyDescent="0.7">
      <c r="B155" s="1">
        <f>YEAR(DATE(Calendario11Año,Calendario11MesOpción+1,1))</f>
        <v>2020</v>
      </c>
      <c r="C155" s="6" t="str">
        <f>TEXT(DATE(Calendario11Año,Calendario11MesOpción+1,1),"mmmm")</f>
        <v>diciembre</v>
      </c>
      <c r="D155" s="9"/>
      <c r="E155" s="9"/>
      <c r="F155" s="9"/>
      <c r="G155" s="9"/>
      <c r="H155" s="2"/>
    </row>
    <row r="156" spans="2:8" ht="14.25" customHeight="1" x14ac:dyDescent="0.3">
      <c r="B156" s="7" t="str">
        <f>UPPER(TEXT(B157,"dddd"))</f>
        <v>LUNES</v>
      </c>
      <c r="C156" s="8" t="str">
        <f t="shared" ref="C156:H156" si="11">UPPER(TEXT(C157,"dddd"))</f>
        <v>MARTES</v>
      </c>
      <c r="D156" s="7" t="str">
        <f t="shared" si="11"/>
        <v>MIÉRCOLES</v>
      </c>
      <c r="E156" s="8" t="str">
        <f t="shared" si="11"/>
        <v>JUEVES</v>
      </c>
      <c r="F156" s="7" t="str">
        <f t="shared" si="11"/>
        <v>VIERNES</v>
      </c>
      <c r="G156" s="8" t="str">
        <f t="shared" si="11"/>
        <v>SÁBADO</v>
      </c>
      <c r="H156" s="7" t="str">
        <f t="shared" si="11"/>
        <v>DOMINGO</v>
      </c>
    </row>
    <row r="157" spans="2:8" ht="16.5" customHeight="1" x14ac:dyDescent="0.3">
      <c r="B157" s="4">
        <f t="array" ref="B157:H157">Días+1+DATE(Calendario12Año,Calendario12MesOpción,1)-WEEKDAY(DATE(Calendario12Año,Calendario12MesOpción,1),DíaDeLaSemanaOpción)</f>
        <v>44165</v>
      </c>
      <c r="C157" s="4">
        <v>44166</v>
      </c>
      <c r="D157" s="4">
        <v>44167</v>
      </c>
      <c r="E157" s="4">
        <v>44168</v>
      </c>
      <c r="F157" s="4">
        <v>44169</v>
      </c>
      <c r="G157" s="4">
        <v>44170</v>
      </c>
      <c r="H157" s="5">
        <v>44171</v>
      </c>
    </row>
    <row r="158" spans="2:8" ht="56.25" customHeight="1" x14ac:dyDescent="0.3">
      <c r="B158" s="10"/>
      <c r="C158" s="10"/>
      <c r="D158" s="10"/>
      <c r="E158" s="10"/>
      <c r="F158" s="10"/>
      <c r="G158" s="10"/>
      <c r="H158" s="11"/>
    </row>
    <row r="159" spans="2:8" ht="16.5" customHeight="1" x14ac:dyDescent="0.3">
      <c r="B159" s="4">
        <f t="array" ref="B159:H159">Días+8+DATE(Calendario12Año,Calendario12MesOpción,1)-WEEKDAY(DATE(Calendario12Año,Calendario12MesOpción,1),DíaDeLaSemanaOpción)</f>
        <v>44172</v>
      </c>
      <c r="C159" s="4">
        <v>44173</v>
      </c>
      <c r="D159" s="4">
        <v>44174</v>
      </c>
      <c r="E159" s="4">
        <v>44175</v>
      </c>
      <c r="F159" s="4">
        <v>44176</v>
      </c>
      <c r="G159" s="4">
        <v>44177</v>
      </c>
      <c r="H159" s="5">
        <v>44178</v>
      </c>
    </row>
    <row r="160" spans="2:8" ht="56.25" customHeight="1" x14ac:dyDescent="0.3">
      <c r="B160" s="10"/>
      <c r="C160" s="10"/>
      <c r="D160" s="10"/>
      <c r="E160" s="10"/>
      <c r="F160" s="10"/>
      <c r="G160" s="10"/>
      <c r="H160" s="11"/>
    </row>
    <row r="161" spans="2:8" ht="16.5" customHeight="1" x14ac:dyDescent="0.3">
      <c r="B161" s="4">
        <f t="array" ref="B161:H161">Días+15+DATE(Calendario12Año,Calendario12MesOpción,1)-WEEKDAY(DATE(Calendario12Año,Calendario12MesOpción,1),DíaDeLaSemanaOpción)</f>
        <v>44179</v>
      </c>
      <c r="C161" s="4">
        <v>44180</v>
      </c>
      <c r="D161" s="4">
        <v>44181</v>
      </c>
      <c r="E161" s="4">
        <v>44182</v>
      </c>
      <c r="F161" s="4">
        <v>44183</v>
      </c>
      <c r="G161" s="4">
        <v>44184</v>
      </c>
      <c r="H161" s="5">
        <v>44185</v>
      </c>
    </row>
    <row r="162" spans="2:8" ht="56.25" customHeight="1" x14ac:dyDescent="0.3">
      <c r="B162" s="10"/>
      <c r="C162" s="10"/>
      <c r="D162" s="10"/>
      <c r="E162" s="10"/>
      <c r="F162" s="10"/>
      <c r="G162" s="10"/>
      <c r="H162" s="11"/>
    </row>
    <row r="163" spans="2:8" ht="16.5" customHeight="1" x14ac:dyDescent="0.3">
      <c r="B163" s="4">
        <f t="array" ref="B163:H163">Días+22+DATE(Calendario12Año,Calendario12MesOpción,1)-WEEKDAY(DATE(Calendario12Año,Calendario12MesOpción,1),DíaDeLaSemanaOpción)</f>
        <v>44186</v>
      </c>
      <c r="C163" s="4">
        <v>44187</v>
      </c>
      <c r="D163" s="4">
        <v>44188</v>
      </c>
      <c r="E163" s="4">
        <v>44189</v>
      </c>
      <c r="F163" s="4">
        <v>44190</v>
      </c>
      <c r="G163" s="4">
        <v>44191</v>
      </c>
      <c r="H163" s="5">
        <v>44192</v>
      </c>
    </row>
    <row r="164" spans="2:8" ht="56.25" customHeight="1" x14ac:dyDescent="0.3">
      <c r="B164" s="10"/>
      <c r="C164" s="10"/>
      <c r="D164" s="10"/>
      <c r="E164" s="10"/>
      <c r="F164" s="10"/>
      <c r="G164" s="10"/>
      <c r="H164" s="11"/>
    </row>
    <row r="165" spans="2:8" ht="16.5" customHeight="1" x14ac:dyDescent="0.3">
      <c r="B165" s="4">
        <f t="array" ref="B165:H165">Días+29+DATE(Calendario12Año,Calendario12MesOpción,1)-WEEKDAY(DATE(Calendario12Año,Calendario12MesOpción,1),DíaDeLaSemanaOpción)</f>
        <v>44193</v>
      </c>
      <c r="C165" s="4">
        <v>44194</v>
      </c>
      <c r="D165" s="4">
        <v>44195</v>
      </c>
      <c r="E165" s="4">
        <v>44196</v>
      </c>
      <c r="F165" s="4">
        <v>44197</v>
      </c>
      <c r="G165" s="4">
        <v>44198</v>
      </c>
      <c r="H165" s="5">
        <v>44199</v>
      </c>
    </row>
    <row r="166" spans="2:8" ht="57" customHeight="1" x14ac:dyDescent="0.3">
      <c r="B166" s="10"/>
      <c r="C166" s="10"/>
      <c r="D166" s="10"/>
      <c r="E166" s="10"/>
      <c r="F166" s="10"/>
      <c r="G166" s="10"/>
      <c r="H166" s="12"/>
    </row>
    <row r="167" spans="2:8" ht="16.5" customHeight="1" x14ac:dyDescent="0.3">
      <c r="B167" s="4">
        <f t="array" ref="B167:C167">Días+36+DATE(Calendario12Año,Calendario12MesOpción,1)-WEEKDAY(DATE(Calendario12Año,Calendario12MesOpción,1),DíaDeLaSemanaOpción)</f>
        <v>44200</v>
      </c>
      <c r="C167" s="4">
        <v>44201</v>
      </c>
      <c r="D167" s="62" t="s">
        <v>1</v>
      </c>
      <c r="E167" s="63"/>
      <c r="F167" s="63"/>
      <c r="G167" s="63"/>
      <c r="H167" s="63"/>
    </row>
    <row r="168" spans="2:8" ht="63.75" customHeight="1" x14ac:dyDescent="0.3">
      <c r="B168" s="10"/>
      <c r="C168" s="10"/>
      <c r="D168" s="64"/>
      <c r="E168" s="64"/>
      <c r="F168" s="64"/>
      <c r="G168" s="64"/>
      <c r="H168" s="64"/>
    </row>
  </sheetData>
  <mergeCells count="24">
    <mergeCell ref="D168:H168"/>
    <mergeCell ref="D97:H97"/>
    <mergeCell ref="D98:H98"/>
    <mergeCell ref="D111:H111"/>
    <mergeCell ref="D112:H112"/>
    <mergeCell ref="D125:H125"/>
    <mergeCell ref="D126:H126"/>
    <mergeCell ref="D139:H139"/>
    <mergeCell ref="D140:H140"/>
    <mergeCell ref="D153:H153"/>
    <mergeCell ref="D154:H154"/>
    <mergeCell ref="D167:H167"/>
    <mergeCell ref="D84:H84"/>
    <mergeCell ref="D13:H13"/>
    <mergeCell ref="D14:H14"/>
    <mergeCell ref="D27:H27"/>
    <mergeCell ref="D28:H28"/>
    <mergeCell ref="D41:H41"/>
    <mergeCell ref="D42:H42"/>
    <mergeCell ref="D55:H55"/>
    <mergeCell ref="D56:H56"/>
    <mergeCell ref="D69:H69"/>
    <mergeCell ref="D70:H70"/>
    <mergeCell ref="D83:H83"/>
  </mergeCells>
  <conditionalFormatting sqref="B3:H3 B5:H5 B7:H7 B9:H9 B11:H11 B13:C13">
    <cfRule type="expression" dxfId="23" priority="12">
      <formula>MONTH(B3)&lt;&gt;Calendario1MesOpción</formula>
    </cfRule>
  </conditionalFormatting>
  <conditionalFormatting sqref="B17:H17 B19:H19 B21:H21 B23:H23 B25:H25 B27:C27">
    <cfRule type="expression" dxfId="22" priority="11">
      <formula>MONTH(B17)&lt;&gt;Calendario2MesOpción</formula>
    </cfRule>
  </conditionalFormatting>
  <conditionalFormatting sqref="B31:H31 B33:H33 B35:H35 B37:H37 B39:H39 B41:C41">
    <cfRule type="expression" dxfId="21" priority="10">
      <formula>MONTH(B31)&lt;&gt;Calendario3MesOpción</formula>
    </cfRule>
  </conditionalFormatting>
  <conditionalFormatting sqref="B45:H45 B47:H47 B49:H49 B51:H51 B53:H53 B55:C55">
    <cfRule type="expression" dxfId="20" priority="9">
      <formula>MONTH(B45)&lt;&gt;Calendario4MesOpción</formula>
    </cfRule>
  </conditionalFormatting>
  <conditionalFormatting sqref="B59:H59 B61:H61 B63:H63 B65:H65 B67:H67 B69:C69">
    <cfRule type="expression" dxfId="19" priority="8">
      <formula>MONTH(B59)&lt;&gt;Calendario5MesOpción</formula>
    </cfRule>
  </conditionalFormatting>
  <conditionalFormatting sqref="B73:H73 B75:H75 B77:H77 B79:H79 B81:H81 B83:C83">
    <cfRule type="expression" dxfId="18" priority="7">
      <formula>MONTH(B73)&lt;&gt;Calendario6MesOpción</formula>
    </cfRule>
  </conditionalFormatting>
  <conditionalFormatting sqref="B87:H87 B89:H89 B91:H91 B93:H93 B95:H95 B97:C97">
    <cfRule type="expression" dxfId="17" priority="6">
      <formula>MONTH(B87)&lt;&gt;Calendario7MesOpción</formula>
    </cfRule>
  </conditionalFormatting>
  <conditionalFormatting sqref="B101:H101 B103:H103 B105:H105 B107:H107 B109:H109 B111:C111">
    <cfRule type="expression" dxfId="16" priority="5">
      <formula>MONTH(B101)&lt;&gt;Calendario8MesOpción</formula>
    </cfRule>
  </conditionalFormatting>
  <conditionalFormatting sqref="B115:H115 B117:H117 B119:H119 B121:H121 B123:H123 B125:C125">
    <cfRule type="expression" dxfId="15" priority="4">
      <formula>MONTH(B115)&lt;&gt;Calendario9MesOpción</formula>
    </cfRule>
  </conditionalFormatting>
  <conditionalFormatting sqref="B129:H129 B131:H131 B133:H133 B135:H135 B137:H137 B139:C139">
    <cfRule type="expression" dxfId="14" priority="3">
      <formula>MONTH(B129)&lt;&gt;Calendario10MesOpción</formula>
    </cfRule>
  </conditionalFormatting>
  <conditionalFormatting sqref="B143:H143 B145:H145 B147:H147 B149:H149 B151:H151 B153:C153">
    <cfRule type="expression" dxfId="13" priority="2">
      <formula>MONTH(B143)&lt;&gt;Calendario11MesOpción</formula>
    </cfRule>
  </conditionalFormatting>
  <conditionalFormatting sqref="B157:H157 B159:H159 B161:H161 B163:H163 B165:H165 B167:C167">
    <cfRule type="expression" dxfId="12" priority="1">
      <formula>MONTH(B157)&lt;&gt;Calendario12MesOpción</formula>
    </cfRule>
  </conditionalFormatting>
  <dataValidations count="11">
    <dataValidation allowBlank="1" showInputMessage="1" prompt="Fecha" sqref="B3" xr:uid="{00000000-0002-0000-0200-000000000000}"/>
    <dataValidation allowBlank="1" showInputMessage="1" prompt="Desplazamiento de mes natural según el mes seleccionado en la celda C1" sqref="C15" xr:uid="{00000000-0002-0000-0200-000001000000}"/>
    <dataValidation allowBlank="1" showInputMessage="1" prompt="El año natural se determina automáticamente por el año especificado en la celda B1" sqref="B15" xr:uid="{00000000-0002-0000-0200-000002000000}"/>
    <dataValidation allowBlank="1" showInputMessage="1" prompt="Escriba aquí las notas del día." sqref="B4" xr:uid="{00000000-0002-0000-0200-000003000000}"/>
    <dataValidation allowBlank="1" showInputMessage="1" prompt="Título de notas del mes" sqref="D13" xr:uid="{00000000-0002-0000-0200-000004000000}"/>
    <dataValidation allowBlank="1" showInputMessage="1" prompt="Escriba aquí las notas del mes." sqref="D14" xr:uid="{00000000-0002-0000-0200-000005000000}"/>
    <dataValidation allowBlank="1" showInputMessage="1" prompt="El día de la semana se determinará automáticamente. Para cambiar los días de la semana, seleccione un nuevo día de la semana de inicio en la celda B2." sqref="C2:H2 B16" xr:uid="{00000000-0002-0000-0200-000006000000}"/>
    <dataValidation allowBlank="1" showInputMessage="1" showErrorMessage="1" prompt="Escriba el año para este calendario." sqref="B1" xr:uid="{00000000-0002-0000-0200-000007000000}"/>
    <dataValidation allowBlank="1" showInputMessage="1" prompt="Este libro es un calendario de 12 meses. Escriba el año de inicio en la celda B1 y, después, seleccione el mes de inicio en la celda C1. El calendario se actualizará automáticamente para los meses posteriores." sqref="A1" xr:uid="{00000000-0002-0000-0200-000008000000}"/>
    <dataValidation type="list" allowBlank="1" showInputMessage="1" showErrorMessage="1" error="Seleccione un mes de las entradas de la lista. Seleccione CANCELAR y, después, ALT+FLECHA ABAJO para elegirlo en la lista desplegable." prompt="Seleccione el mes de inicio del calendario de la lista desplegable. Presione ALT+FLECHA ABAJO para abrir la lista desplegable y, después, presione ENTRAR para elegir uno de los elementos." sqref="C1" xr:uid="{00000000-0002-0000-0200-000009000000}">
      <formula1>"enero, febrero, marzo, abril, mayo, junio, julio, agosto, septiembre, octubre, noviembre, diciembre"</formula1>
    </dataValidation>
    <dataValidation type="list" allowBlank="1" showInputMessage="1" showErrorMessage="1" error="Solo los días de la lista desplegable se pueden usar para los encabezados de día de la semana. Para seleccionar un día de la semana distinto, seleccione CANCELAR y, después, ALT+FLECHA ABAJO para elegirlo en la lista desplegable." prompt="Seleccione el día de la semana de inicio en la lista desplegable. Presione ALT+FLECHA ABAJO para abrir la lista desplegable y, después, presione ENTRAR para seleccionar un día. El calendario se actualizará automáticamente." sqref="B2" xr:uid="{00000000-0002-0000-0200-00000A000000}">
      <formula1>"DOMINGO, LUNES, MARTES, MIÉRCOLES, JUEVES, VIERNES, SÁBADO"</formula1>
    </dataValidation>
  </dataValidations>
  <printOptions horizontalCentered="1" verticalCentered="1"/>
  <pageMargins left="0.25" right="0.25" top="0.45" bottom="0.45" header="0.5" footer="0.5"/>
  <pageSetup paperSize="9" fitToHeight="0" orientation="landscape" r:id="rId1"/>
  <headerFooter alignWithMargins="0"/>
  <rowBreaks count="11" manualBreakCount="11">
    <brk id="14" min="1" max="8" man="1"/>
    <brk id="28" min="1" max="8" man="1"/>
    <brk id="42" min="1" max="8" man="1"/>
    <brk id="56" min="1" max="8" man="1"/>
    <brk id="70" min="1" max="8" man="1"/>
    <brk id="84" min="1" max="8" man="1"/>
    <brk id="98" min="1" max="8" man="1"/>
    <brk id="112" min="1" max="8" man="1"/>
    <brk id="126" min="1" max="8" man="1"/>
    <brk id="140" min="1" max="8" man="1"/>
    <brk id="154" min="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pageSetUpPr autoPageBreaks="0" fitToPage="1"/>
  </sheetPr>
  <dimension ref="A1:H168"/>
  <sheetViews>
    <sheetView showGridLines="0" tabSelected="1" topLeftCell="A134" zoomScaleNormal="100" workbookViewId="0">
      <selection activeCell="A135" sqref="A135"/>
    </sheetView>
  </sheetViews>
  <sheetFormatPr baseColWidth="10" defaultColWidth="8.75" defaultRowHeight="16.5" x14ac:dyDescent="0.3"/>
  <cols>
    <col min="1" max="1" width="2" customWidth="1"/>
    <col min="2" max="2" width="18.25" customWidth="1"/>
    <col min="3" max="8" width="17.625" customWidth="1"/>
    <col min="9" max="9" width="2.5" customWidth="1"/>
    <col min="14" max="14" width="6.75" customWidth="1"/>
  </cols>
  <sheetData>
    <row r="1" spans="1:8" ht="54" customHeight="1" x14ac:dyDescent="0.7">
      <c r="A1" s="2"/>
      <c r="B1" s="1">
        <v>2026</v>
      </c>
      <c r="C1" s="6" t="s">
        <v>54</v>
      </c>
      <c r="D1" s="2"/>
      <c r="E1" s="2"/>
      <c r="F1" s="2"/>
      <c r="G1" s="2"/>
      <c r="H1" s="2"/>
    </row>
    <row r="2" spans="1:8" ht="14.25" customHeight="1" x14ac:dyDescent="0.3">
      <c r="A2" s="3"/>
      <c r="B2" s="7" t="s">
        <v>0</v>
      </c>
      <c r="C2" s="8" t="str">
        <f>UPPER(TEXT(C3,"dddd"))</f>
        <v>MARTES</v>
      </c>
      <c r="D2" s="7" t="str">
        <f>UPPER(TEXT(D3,"dddd"))</f>
        <v>MIÉRCOLES</v>
      </c>
      <c r="E2" s="8" t="str">
        <f t="shared" ref="E2:H2" si="0">UPPER(TEXT(E3,"dddd"))</f>
        <v>JUEVES</v>
      </c>
      <c r="F2" s="7" t="str">
        <f t="shared" si="0"/>
        <v>VIERNES</v>
      </c>
      <c r="G2" s="8" t="str">
        <f t="shared" si="0"/>
        <v>SÁBADO</v>
      </c>
      <c r="H2" s="7" t="str">
        <f t="shared" si="0"/>
        <v>DOMINGO</v>
      </c>
    </row>
    <row r="3" spans="1:8" ht="16.5" customHeight="1" x14ac:dyDescent="0.3">
      <c r="B3" s="4">
        <f t="array" ref="B3:H3">Días+1+DATE(Calendario1Año,Calendario1MesOpción,1)-WEEKDAY(DATE(Calendario1Año,Calendario1MesOpción,1),DíaDeLaSemanaOpción)</f>
        <v>46020</v>
      </c>
      <c r="C3" s="4">
        <v>46021</v>
      </c>
      <c r="D3" s="4">
        <v>46022</v>
      </c>
      <c r="E3" s="4">
        <v>46023</v>
      </c>
      <c r="F3" s="4">
        <v>46024</v>
      </c>
      <c r="G3" s="4">
        <v>46025</v>
      </c>
      <c r="H3" s="5">
        <v>46026</v>
      </c>
    </row>
    <row r="4" spans="1:8" ht="56.25" customHeight="1" x14ac:dyDescent="0.3">
      <c r="B4" s="10"/>
      <c r="C4" s="10"/>
      <c r="D4" s="13"/>
      <c r="E4" s="10"/>
      <c r="F4" s="13"/>
      <c r="G4" s="10"/>
      <c r="H4" s="11"/>
    </row>
    <row r="5" spans="1:8" ht="16.5" customHeight="1" x14ac:dyDescent="0.3">
      <c r="B5" s="4">
        <f t="array" ref="B5:H5">Días+8+DATE(Calendario1Año,Calendario1MesOpción,1)-WEEKDAY(DATE(Calendario1Año,Calendario1MesOpción,1),DíaDeLaSemanaOpción)</f>
        <v>46027</v>
      </c>
      <c r="C5" s="4">
        <v>46028</v>
      </c>
      <c r="D5" s="4">
        <v>46029</v>
      </c>
      <c r="E5" s="4">
        <v>46030</v>
      </c>
      <c r="F5" s="4">
        <v>46031</v>
      </c>
      <c r="G5" s="4">
        <v>46032</v>
      </c>
      <c r="H5" s="5">
        <v>46033</v>
      </c>
    </row>
    <row r="6" spans="1:8" ht="56.25" customHeight="1" x14ac:dyDescent="0.3">
      <c r="B6" s="13"/>
      <c r="C6" s="10"/>
      <c r="D6" s="13"/>
      <c r="E6" s="10"/>
      <c r="F6" s="13"/>
      <c r="G6" s="10"/>
      <c r="H6" s="10"/>
    </row>
    <row r="7" spans="1:8" ht="16.5" customHeight="1" x14ac:dyDescent="0.3">
      <c r="B7" s="4">
        <f t="array" ref="B7:H7">Días+15+DATE(Calendario1Año,Calendario1MesOpción,1)-WEEKDAY(DATE(Calendario1Año,Calendario1MesOpción,1),DíaDeLaSemanaOpción)</f>
        <v>46034</v>
      </c>
      <c r="C7" s="4">
        <v>46035</v>
      </c>
      <c r="D7" s="4">
        <v>46036</v>
      </c>
      <c r="E7" s="4">
        <v>46037</v>
      </c>
      <c r="F7" s="4">
        <v>46038</v>
      </c>
      <c r="G7" s="4">
        <v>46039</v>
      </c>
      <c r="H7" s="5">
        <v>46040</v>
      </c>
    </row>
    <row r="8" spans="1:8" ht="56.25" customHeight="1" x14ac:dyDescent="0.3">
      <c r="B8" s="13"/>
      <c r="C8" s="10"/>
      <c r="D8" s="13"/>
      <c r="E8" s="10"/>
      <c r="F8" s="13"/>
      <c r="G8" s="10"/>
      <c r="H8" s="11"/>
    </row>
    <row r="9" spans="1:8" ht="16.5" customHeight="1" x14ac:dyDescent="0.3">
      <c r="B9" s="4">
        <f t="array" ref="B9:H9">Días+22+DATE(Calendario1Año,Calendario1MesOpción,1)-WEEKDAY(DATE(Calendario1Año,Calendario1MesOpción,1),DíaDeLaSemanaOpción)</f>
        <v>46041</v>
      </c>
      <c r="C9" s="4">
        <v>46042</v>
      </c>
      <c r="D9" s="4">
        <v>46043</v>
      </c>
      <c r="E9" s="4">
        <v>46044</v>
      </c>
      <c r="F9" s="4">
        <v>46045</v>
      </c>
      <c r="G9" s="4">
        <v>46046</v>
      </c>
      <c r="H9" s="5">
        <v>46047</v>
      </c>
    </row>
    <row r="10" spans="1:8" ht="56.25" customHeight="1" x14ac:dyDescent="0.3">
      <c r="B10" s="13"/>
      <c r="C10" s="10"/>
      <c r="D10" s="13"/>
      <c r="E10" s="10"/>
      <c r="F10" s="13"/>
      <c r="G10" s="10"/>
      <c r="H10" s="11"/>
    </row>
    <row r="11" spans="1:8" ht="16.5" customHeight="1" x14ac:dyDescent="0.3">
      <c r="B11" s="4">
        <f t="array" ref="B11:H11">Días+29+DATE(Calendario1Año,Calendario1MesOpción,1)-WEEKDAY(DATE(Calendario1Año,Calendario1MesOpción,1),DíaDeLaSemanaOpción)</f>
        <v>46048</v>
      </c>
      <c r="C11" s="4">
        <v>46049</v>
      </c>
      <c r="D11" s="4">
        <v>46050</v>
      </c>
      <c r="E11" s="4">
        <v>46051</v>
      </c>
      <c r="F11" s="4">
        <v>46052</v>
      </c>
      <c r="G11" s="4">
        <v>46053</v>
      </c>
      <c r="H11" s="5">
        <v>46054</v>
      </c>
    </row>
    <row r="12" spans="1:8" ht="57" customHeight="1" x14ac:dyDescent="0.3">
      <c r="B12" s="13"/>
      <c r="C12" s="10"/>
      <c r="D12" s="13"/>
      <c r="E12" s="10"/>
      <c r="F12" s="13"/>
      <c r="G12" s="10"/>
      <c r="H12" s="11"/>
    </row>
    <row r="13" spans="1:8" ht="16.5" customHeight="1" x14ac:dyDescent="0.3">
      <c r="B13" s="4">
        <f t="array" ref="B13:C13">Días+36+DATE(Calendario1Año,Calendario1MesOpción,1)-WEEKDAY(DATE(Calendario1Año,Calendario1MesOpción,1),DíaDeLaSemanaOpción)</f>
        <v>46055</v>
      </c>
      <c r="C13" s="4">
        <v>46056</v>
      </c>
      <c r="D13" s="66" t="s">
        <v>1</v>
      </c>
      <c r="E13" s="67"/>
      <c r="F13" s="67"/>
      <c r="G13" s="67"/>
      <c r="H13" s="67"/>
    </row>
    <row r="14" spans="1:8" ht="63.75" customHeight="1" x14ac:dyDescent="0.3">
      <c r="B14" s="10"/>
      <c r="C14" s="10"/>
      <c r="D14" s="65"/>
      <c r="E14" s="64"/>
      <c r="F14" s="64"/>
      <c r="G14" s="64"/>
      <c r="H14" s="64"/>
    </row>
    <row r="15" spans="1:8" ht="54" customHeight="1" x14ac:dyDescent="0.7">
      <c r="A15" s="2"/>
      <c r="B15" s="1">
        <f>YEAR(DATE(Calendario1Año,Calendario1MesOpción+1,1))</f>
        <v>2026</v>
      </c>
      <c r="C15" s="6" t="str">
        <f>TEXT(DATE(Calendario1Año,Calendario1MesOpción+1,1),"mmmm")</f>
        <v>febrero</v>
      </c>
      <c r="D15" s="9"/>
      <c r="E15" s="9"/>
      <c r="F15" s="9"/>
      <c r="G15" s="9"/>
      <c r="H15" s="2"/>
    </row>
    <row r="16" spans="1:8" ht="14.25" customHeight="1" x14ac:dyDescent="0.3">
      <c r="A16" s="3"/>
      <c r="B16" s="7" t="str">
        <f>UPPER(TEXT(B17,"dddd"))</f>
        <v>LUNES</v>
      </c>
      <c r="C16" s="8" t="str">
        <f t="shared" ref="C16:H16" si="1">UPPER(TEXT(C17,"dddd"))</f>
        <v>MARTES</v>
      </c>
      <c r="D16" s="7" t="str">
        <f t="shared" si="1"/>
        <v>MIÉRCOLES</v>
      </c>
      <c r="E16" s="8" t="str">
        <f t="shared" si="1"/>
        <v>JUEVES</v>
      </c>
      <c r="F16" s="7" t="str">
        <f t="shared" si="1"/>
        <v>VIERNES</v>
      </c>
      <c r="G16" s="8" t="str">
        <f t="shared" si="1"/>
        <v>SÁBADO</v>
      </c>
      <c r="H16" s="7" t="str">
        <f t="shared" si="1"/>
        <v>DOMINGO</v>
      </c>
    </row>
    <row r="17" spans="1:8" ht="16.5" customHeight="1" x14ac:dyDescent="0.3">
      <c r="B17" s="4">
        <f t="array" ref="B17:H17">Días+1+DATE(Calendario2Año,Calendario2MesOpción,1)-WEEKDAY(DATE(Calendario2Año,Calendario2MesOpción,1),DíaDeLaSemanaOpción)</f>
        <v>46048</v>
      </c>
      <c r="C17" s="4">
        <v>46049</v>
      </c>
      <c r="D17" s="4">
        <v>46050</v>
      </c>
      <c r="E17" s="4">
        <v>46051</v>
      </c>
      <c r="F17" s="4">
        <v>46052</v>
      </c>
      <c r="G17" s="4">
        <v>46053</v>
      </c>
      <c r="H17" s="5">
        <v>46054</v>
      </c>
    </row>
    <row r="18" spans="1:8" ht="56.25" customHeight="1" x14ac:dyDescent="0.3">
      <c r="B18" s="10"/>
      <c r="C18" s="10"/>
      <c r="D18" s="13"/>
      <c r="E18" s="10"/>
      <c r="F18" s="13"/>
      <c r="G18" s="10"/>
      <c r="H18" s="11"/>
    </row>
    <row r="19" spans="1:8" ht="16.5" customHeight="1" x14ac:dyDescent="0.3">
      <c r="B19" s="4">
        <f t="array" ref="B19:H19">Días+8+DATE(Calendario2Año,Calendario2MesOpción,1)-WEEKDAY(DATE(Calendario2Año,Calendario2MesOpción,1),DíaDeLaSemanaOpción)</f>
        <v>46055</v>
      </c>
      <c r="C19" s="4">
        <v>46056</v>
      </c>
      <c r="D19" s="4">
        <v>46057</v>
      </c>
      <c r="E19" s="4">
        <v>46058</v>
      </c>
      <c r="F19" s="4">
        <v>46059</v>
      </c>
      <c r="G19" s="4">
        <v>46060</v>
      </c>
      <c r="H19" s="5">
        <v>46061</v>
      </c>
    </row>
    <row r="20" spans="1:8" ht="56.25" customHeight="1" x14ac:dyDescent="0.3">
      <c r="B20" s="13"/>
      <c r="C20" s="10"/>
      <c r="D20" s="13"/>
      <c r="E20" s="10"/>
      <c r="F20" s="13"/>
      <c r="G20" s="10"/>
      <c r="H20" s="11"/>
    </row>
    <row r="21" spans="1:8" ht="16.5" customHeight="1" x14ac:dyDescent="0.3">
      <c r="B21" s="4">
        <f t="array" ref="B21:H21">Días+15+DATE(Calendario2Año,Calendario2MesOpción,1)-WEEKDAY(DATE(Calendario2Año,Calendario2MesOpción,1),DíaDeLaSemanaOpción)</f>
        <v>46062</v>
      </c>
      <c r="C21" s="4">
        <v>46063</v>
      </c>
      <c r="D21" s="4">
        <v>46064</v>
      </c>
      <c r="E21" s="4">
        <v>46065</v>
      </c>
      <c r="F21" s="4">
        <v>46066</v>
      </c>
      <c r="G21" s="4">
        <v>46067</v>
      </c>
      <c r="H21" s="5">
        <v>46068</v>
      </c>
    </row>
    <row r="22" spans="1:8" ht="56.25" customHeight="1" x14ac:dyDescent="0.3">
      <c r="B22" s="13"/>
      <c r="C22" s="10"/>
      <c r="D22" s="13"/>
      <c r="E22" s="10"/>
      <c r="F22" s="13"/>
      <c r="G22" s="10"/>
      <c r="H22" s="11"/>
    </row>
    <row r="23" spans="1:8" ht="16.5" customHeight="1" x14ac:dyDescent="0.3">
      <c r="B23" s="4">
        <f t="array" ref="B23:H23">Días+22+DATE(Calendario2Año,Calendario2MesOpción,1)-WEEKDAY(DATE(Calendario2Año,Calendario2MesOpción,1),DíaDeLaSemanaOpción)</f>
        <v>46069</v>
      </c>
      <c r="C23" s="4">
        <v>46070</v>
      </c>
      <c r="D23" s="4">
        <v>46071</v>
      </c>
      <c r="E23" s="4">
        <v>46072</v>
      </c>
      <c r="F23" s="4">
        <v>46073</v>
      </c>
      <c r="G23" s="4">
        <v>46074</v>
      </c>
      <c r="H23" s="5">
        <v>46075</v>
      </c>
    </row>
    <row r="24" spans="1:8" ht="56.25" customHeight="1" x14ac:dyDescent="0.3">
      <c r="B24" s="13"/>
      <c r="C24" s="10"/>
      <c r="D24" s="13"/>
      <c r="E24" s="10"/>
      <c r="F24" s="13"/>
      <c r="G24" s="10"/>
      <c r="H24" s="11"/>
    </row>
    <row r="25" spans="1:8" ht="16.5" customHeight="1" x14ac:dyDescent="0.3">
      <c r="B25" s="4">
        <f t="array" ref="B25:H25">Días+29+DATE(Calendario2Año,Calendario2MesOpción,1)-WEEKDAY(DATE(Calendario2Año,Calendario2MesOpción,1),DíaDeLaSemanaOpción)</f>
        <v>46076</v>
      </c>
      <c r="C25" s="4">
        <v>46077</v>
      </c>
      <c r="D25" s="4">
        <v>46078</v>
      </c>
      <c r="E25" s="4">
        <v>46079</v>
      </c>
      <c r="F25" s="4">
        <v>46080</v>
      </c>
      <c r="G25" s="4">
        <v>46081</v>
      </c>
      <c r="H25" s="5">
        <v>46082</v>
      </c>
    </row>
    <row r="26" spans="1:8" ht="57" customHeight="1" x14ac:dyDescent="0.3">
      <c r="B26" s="13"/>
      <c r="C26" s="10"/>
      <c r="D26" s="13"/>
      <c r="E26" s="10"/>
      <c r="F26" s="10"/>
      <c r="G26" s="10"/>
      <c r="H26" s="12"/>
    </row>
    <row r="27" spans="1:8" ht="16.5" customHeight="1" x14ac:dyDescent="0.3">
      <c r="B27" s="4">
        <f t="array" ref="B27:C27">Días+36+DATE(Calendario2Año,Calendario2MesOpción,1)-WEEKDAY(DATE(Calendario2Año,Calendario2MesOpción,1),DíaDeLaSemanaOpción)</f>
        <v>46083</v>
      </c>
      <c r="C27" s="4">
        <v>46084</v>
      </c>
      <c r="D27" s="63" t="s">
        <v>1</v>
      </c>
      <c r="E27" s="63"/>
      <c r="F27" s="63"/>
      <c r="G27" s="63"/>
      <c r="H27" s="63"/>
    </row>
    <row r="28" spans="1:8" ht="63.75" customHeight="1" x14ac:dyDescent="0.3">
      <c r="B28" s="10"/>
      <c r="C28" s="10"/>
      <c r="D28" s="64"/>
      <c r="E28" s="64"/>
      <c r="F28" s="64"/>
      <c r="G28" s="64"/>
      <c r="H28" s="64"/>
    </row>
    <row r="29" spans="1:8" ht="54" customHeight="1" x14ac:dyDescent="0.7">
      <c r="A29" s="2"/>
      <c r="B29" s="1">
        <f>YEAR(DATE(Calendario2Año,Calendario2MesOpción+1,1))</f>
        <v>2026</v>
      </c>
      <c r="C29" s="6" t="str">
        <f>TEXT(DATE(Calendario2Año,Calendario2MesOpción+1,1),"mmmm")</f>
        <v>marzo</v>
      </c>
      <c r="D29" s="9"/>
      <c r="E29" s="9"/>
      <c r="F29" s="9"/>
      <c r="G29" s="9"/>
      <c r="H29" s="2"/>
    </row>
    <row r="30" spans="1:8" ht="14.25" customHeight="1" x14ac:dyDescent="0.3">
      <c r="A30" s="3"/>
      <c r="B30" s="7" t="str">
        <f>UPPER(TEXT(B31,"dddd"))</f>
        <v>LUNES</v>
      </c>
      <c r="C30" s="8" t="str">
        <f t="shared" ref="C30:H30" si="2">UPPER(TEXT(C31,"dddd"))</f>
        <v>MARTES</v>
      </c>
      <c r="D30" s="7" t="str">
        <f t="shared" si="2"/>
        <v>MIÉRCOLES</v>
      </c>
      <c r="E30" s="8" t="str">
        <f t="shared" si="2"/>
        <v>JUEVES</v>
      </c>
      <c r="F30" s="7" t="str">
        <f t="shared" si="2"/>
        <v>VIERNES</v>
      </c>
      <c r="G30" s="8" t="str">
        <f t="shared" si="2"/>
        <v>SÁBADO</v>
      </c>
      <c r="H30" s="7" t="str">
        <f t="shared" si="2"/>
        <v>DOMINGO</v>
      </c>
    </row>
    <row r="31" spans="1:8" ht="16.5" customHeight="1" x14ac:dyDescent="0.3">
      <c r="B31" s="4">
        <f t="array" ref="B31:H31">Días+1+DATE(Calendario3Año,Calendario3MesOpción,1)-WEEKDAY(DATE(Calendario3Año,Calendario3MesOpción,1),DíaDeLaSemanaOpción)</f>
        <v>46076</v>
      </c>
      <c r="C31" s="4">
        <v>46077</v>
      </c>
      <c r="D31" s="4">
        <v>46078</v>
      </c>
      <c r="E31" s="4">
        <v>46079</v>
      </c>
      <c r="F31" s="4">
        <v>46080</v>
      </c>
      <c r="G31" s="4">
        <v>46081</v>
      </c>
      <c r="H31" s="5">
        <v>46082</v>
      </c>
    </row>
    <row r="32" spans="1:8" ht="56.25" customHeight="1" x14ac:dyDescent="0.3">
      <c r="B32" s="10"/>
      <c r="C32" s="10"/>
      <c r="D32" s="10"/>
      <c r="E32" s="10"/>
      <c r="F32" s="13"/>
      <c r="G32" s="10"/>
      <c r="H32" s="11"/>
    </row>
    <row r="33" spans="1:8" ht="16.5" customHeight="1" x14ac:dyDescent="0.3">
      <c r="B33" s="4">
        <f t="array" ref="B33:H33">Días+8+DATE(Calendario3Año,Calendario3MesOpción,1)-WEEKDAY(DATE(Calendario3Año,Calendario3MesOpción,1),DíaDeLaSemanaOpción)</f>
        <v>46083</v>
      </c>
      <c r="C33" s="4">
        <v>46084</v>
      </c>
      <c r="D33" s="4">
        <v>46085</v>
      </c>
      <c r="E33" s="4">
        <v>46086</v>
      </c>
      <c r="F33" s="4">
        <v>46087</v>
      </c>
      <c r="G33" s="4">
        <v>46088</v>
      </c>
      <c r="H33" s="5">
        <v>46089</v>
      </c>
    </row>
    <row r="34" spans="1:8" ht="56.25" customHeight="1" x14ac:dyDescent="0.3">
      <c r="B34" s="13"/>
      <c r="C34" s="10"/>
      <c r="D34" s="13"/>
      <c r="E34" s="10"/>
      <c r="F34" s="13"/>
      <c r="G34" s="10"/>
      <c r="H34" s="11"/>
    </row>
    <row r="35" spans="1:8" ht="16.5" customHeight="1" x14ac:dyDescent="0.3">
      <c r="B35" s="4">
        <f t="array" ref="B35:H35">Días+15+DATE(Calendario3Año,Calendario3MesOpción,1)-WEEKDAY(DATE(Calendario3Año,Calendario3MesOpción,1),DíaDeLaSemanaOpción)</f>
        <v>46090</v>
      </c>
      <c r="C35" s="4">
        <v>46091</v>
      </c>
      <c r="D35" s="4">
        <v>46092</v>
      </c>
      <c r="E35" s="4">
        <v>46093</v>
      </c>
      <c r="F35" s="4">
        <v>46094</v>
      </c>
      <c r="G35" s="4">
        <v>46095</v>
      </c>
      <c r="H35" s="5">
        <v>46096</v>
      </c>
    </row>
    <row r="36" spans="1:8" ht="56.25" customHeight="1" x14ac:dyDescent="0.3">
      <c r="B36" s="13"/>
      <c r="C36" s="10"/>
      <c r="D36" s="13"/>
      <c r="E36" s="10"/>
      <c r="F36" s="13"/>
      <c r="G36" s="10"/>
      <c r="H36" s="11"/>
    </row>
    <row r="37" spans="1:8" ht="16.5" customHeight="1" x14ac:dyDescent="0.3">
      <c r="B37" s="4">
        <f t="array" ref="B37:H37">Días+22+DATE(Calendario3Año,Calendario3MesOpción,1)-WEEKDAY(DATE(Calendario3Año,Calendario3MesOpción,1),DíaDeLaSemanaOpción)</f>
        <v>46097</v>
      </c>
      <c r="C37" s="4">
        <v>46098</v>
      </c>
      <c r="D37" s="4">
        <v>46099</v>
      </c>
      <c r="E37" s="4">
        <v>46100</v>
      </c>
      <c r="F37" s="4">
        <v>46101</v>
      </c>
      <c r="G37" s="4">
        <v>46102</v>
      </c>
      <c r="H37" s="5">
        <v>46103</v>
      </c>
    </row>
    <row r="38" spans="1:8" ht="56.25" customHeight="1" x14ac:dyDescent="0.3">
      <c r="B38" s="13"/>
      <c r="C38" s="10"/>
      <c r="D38" s="13"/>
      <c r="E38" s="10"/>
      <c r="F38" s="13"/>
      <c r="G38" s="10"/>
      <c r="H38" s="11"/>
    </row>
    <row r="39" spans="1:8" ht="16.5" customHeight="1" x14ac:dyDescent="0.3">
      <c r="B39" s="4">
        <f t="array" ref="B39:H39">Días+29+DATE(Calendario3Año,Calendario3MesOpción,1)-WEEKDAY(DATE(Calendario3Año,Calendario3MesOpción,1),DíaDeLaSemanaOpción)</f>
        <v>46104</v>
      </c>
      <c r="C39" s="4">
        <v>46105</v>
      </c>
      <c r="D39" s="4">
        <v>46106</v>
      </c>
      <c r="E39" s="4">
        <v>46107</v>
      </c>
      <c r="F39" s="4">
        <v>46108</v>
      </c>
      <c r="G39" s="4">
        <v>46109</v>
      </c>
      <c r="H39" s="5">
        <v>46110</v>
      </c>
    </row>
    <row r="40" spans="1:8" ht="57" customHeight="1" x14ac:dyDescent="0.3">
      <c r="B40" s="13"/>
      <c r="C40" s="10"/>
      <c r="D40" s="13"/>
      <c r="E40" s="10"/>
      <c r="F40" s="10"/>
      <c r="G40" s="10"/>
      <c r="H40" s="12"/>
    </row>
    <row r="41" spans="1:8" ht="16.5" customHeight="1" x14ac:dyDescent="0.3">
      <c r="B41" s="4">
        <f t="array" ref="B41:C41">Días+36+DATE(Calendario3Año,Calendario3MesOpción,1)-WEEKDAY(DATE(Calendario3Año,Calendario3MesOpción,1),DíaDeLaSemanaOpción)</f>
        <v>46111</v>
      </c>
      <c r="C41" s="4">
        <v>46112</v>
      </c>
      <c r="D41" s="63" t="s">
        <v>1</v>
      </c>
      <c r="E41" s="63"/>
      <c r="F41" s="63"/>
      <c r="G41" s="63"/>
      <c r="H41" s="63"/>
    </row>
    <row r="42" spans="1:8" ht="63.75" customHeight="1" x14ac:dyDescent="0.3">
      <c r="B42" s="10"/>
      <c r="C42" s="10"/>
      <c r="D42" s="64"/>
      <c r="E42" s="64"/>
      <c r="F42" s="64"/>
      <c r="G42" s="64"/>
      <c r="H42" s="64"/>
    </row>
    <row r="43" spans="1:8" ht="54" customHeight="1" x14ac:dyDescent="0.7">
      <c r="A43" s="2"/>
      <c r="B43" s="1">
        <f>YEAR(DATE(Calendario3Año,Calendario3MesOpción+1,1))</f>
        <v>2026</v>
      </c>
      <c r="C43" s="6" t="str">
        <f>TEXT(DATE(Calendario3Año,Calendario3MesOpción+1,1),"mmmm")</f>
        <v>abril</v>
      </c>
      <c r="D43" s="9"/>
      <c r="E43" s="9"/>
      <c r="F43" s="9"/>
      <c r="G43" s="9"/>
      <c r="H43" s="2"/>
    </row>
    <row r="44" spans="1:8" ht="14.25" customHeight="1" x14ac:dyDescent="0.3">
      <c r="A44" s="3"/>
      <c r="B44" s="7" t="str">
        <f>UPPER(TEXT(B45,"dddd"))</f>
        <v>LUNES</v>
      </c>
      <c r="C44" s="8" t="str">
        <f t="shared" ref="C44:H44" si="3">UPPER(TEXT(C45,"dddd"))</f>
        <v>MARTES</v>
      </c>
      <c r="D44" s="7" t="str">
        <f t="shared" si="3"/>
        <v>MIÉRCOLES</v>
      </c>
      <c r="E44" s="8" t="str">
        <f t="shared" si="3"/>
        <v>JUEVES</v>
      </c>
      <c r="F44" s="7" t="str">
        <f t="shared" si="3"/>
        <v>VIERNES</v>
      </c>
      <c r="G44" s="8" t="str">
        <f t="shared" si="3"/>
        <v>SÁBADO</v>
      </c>
      <c r="H44" s="7" t="str">
        <f t="shared" si="3"/>
        <v>DOMINGO</v>
      </c>
    </row>
    <row r="45" spans="1:8" ht="16.5" customHeight="1" x14ac:dyDescent="0.3">
      <c r="B45" s="4">
        <f t="array" ref="B45:H45">Días+1+DATE(Calendario4Año,Calendario4MesOpción,1)-WEEKDAY(DATE(Calendario4Año,Calendario4MesOpción,1),DíaDeLaSemanaOpción)</f>
        <v>46111</v>
      </c>
      <c r="C45" s="4">
        <v>46112</v>
      </c>
      <c r="D45" s="4">
        <v>46113</v>
      </c>
      <c r="E45" s="4">
        <v>46114</v>
      </c>
      <c r="F45" s="4">
        <v>46115</v>
      </c>
      <c r="G45" s="4">
        <v>46116</v>
      </c>
      <c r="H45" s="5">
        <v>46117</v>
      </c>
    </row>
    <row r="46" spans="1:8" ht="48.75" customHeight="1" x14ac:dyDescent="0.3">
      <c r="B46" s="10"/>
      <c r="C46" s="10"/>
      <c r="D46" s="10"/>
      <c r="E46" s="10"/>
      <c r="F46" s="13"/>
      <c r="G46" s="10"/>
      <c r="H46" s="11"/>
    </row>
    <row r="47" spans="1:8" ht="16.5" customHeight="1" x14ac:dyDescent="0.3">
      <c r="B47" s="4">
        <f t="array" ref="B47:H47">Días+8+DATE(Calendario4Año,Calendario4MesOpción,1)-WEEKDAY(DATE(Calendario4Año,Calendario4MesOpción,1),DíaDeLaSemanaOpción)</f>
        <v>46118</v>
      </c>
      <c r="C47" s="4">
        <v>46119</v>
      </c>
      <c r="D47" s="4">
        <v>46120</v>
      </c>
      <c r="E47" s="4">
        <v>46121</v>
      </c>
      <c r="F47" s="4">
        <v>46122</v>
      </c>
      <c r="G47" s="4">
        <v>46123</v>
      </c>
      <c r="H47" s="5">
        <v>46124</v>
      </c>
    </row>
    <row r="48" spans="1:8" ht="56.25" customHeight="1" x14ac:dyDescent="0.3">
      <c r="B48" s="13"/>
      <c r="C48" s="10"/>
      <c r="D48" s="13"/>
      <c r="E48" s="10"/>
      <c r="F48" s="13"/>
      <c r="G48" s="10"/>
      <c r="H48" s="11"/>
    </row>
    <row r="49" spans="1:8" ht="16.5" customHeight="1" x14ac:dyDescent="0.3">
      <c r="B49" s="4">
        <f t="array" ref="B49:H49">Días+15+DATE(Calendario4Año,Calendario4MesOpción,1)-WEEKDAY(DATE(Calendario4Año,Calendario4MesOpción,1),DíaDeLaSemanaOpción)</f>
        <v>46125</v>
      </c>
      <c r="C49" s="4">
        <v>46126</v>
      </c>
      <c r="D49" s="4">
        <v>46127</v>
      </c>
      <c r="E49" s="4">
        <v>46128</v>
      </c>
      <c r="F49" s="4">
        <v>46129</v>
      </c>
      <c r="G49" s="4">
        <v>46130</v>
      </c>
      <c r="H49" s="5">
        <v>46131</v>
      </c>
    </row>
    <row r="50" spans="1:8" ht="56.25" customHeight="1" x14ac:dyDescent="0.3">
      <c r="B50" s="13"/>
      <c r="C50" s="10"/>
      <c r="D50" s="13"/>
      <c r="E50" s="10"/>
      <c r="F50" s="13"/>
      <c r="G50" s="10"/>
      <c r="H50" s="11"/>
    </row>
    <row r="51" spans="1:8" ht="16.5" customHeight="1" x14ac:dyDescent="0.3">
      <c r="B51" s="4">
        <f t="array" ref="B51:H51">Días+22+DATE(Calendario4Año,Calendario4MesOpción,1)-WEEKDAY(DATE(Calendario4Año,Calendario4MesOpción,1),DíaDeLaSemanaOpción)</f>
        <v>46132</v>
      </c>
      <c r="C51" s="4">
        <v>46133</v>
      </c>
      <c r="D51" s="4">
        <v>46134</v>
      </c>
      <c r="E51" s="4">
        <v>46135</v>
      </c>
      <c r="F51" s="4">
        <v>46136</v>
      </c>
      <c r="G51" s="4">
        <v>46137</v>
      </c>
      <c r="H51" s="5">
        <v>46138</v>
      </c>
    </row>
    <row r="52" spans="1:8" ht="56.25" customHeight="1" x14ac:dyDescent="0.3">
      <c r="B52" s="13"/>
      <c r="C52" s="10"/>
      <c r="D52" s="13"/>
      <c r="E52" s="10"/>
      <c r="F52" s="13"/>
      <c r="G52" s="10"/>
      <c r="H52" s="11"/>
    </row>
    <row r="53" spans="1:8" ht="16.5" customHeight="1" x14ac:dyDescent="0.3">
      <c r="B53" s="4">
        <f t="array" ref="B53:H53">Días+29+DATE(Calendario4Año,Calendario4MesOpción,1)-WEEKDAY(DATE(Calendario4Año,Calendario4MesOpción,1),DíaDeLaSemanaOpción)</f>
        <v>46139</v>
      </c>
      <c r="C53" s="4">
        <v>46140</v>
      </c>
      <c r="D53" s="4">
        <v>46141</v>
      </c>
      <c r="E53" s="4">
        <v>46142</v>
      </c>
      <c r="F53" s="4">
        <v>46143</v>
      </c>
      <c r="G53" s="4">
        <v>46144</v>
      </c>
      <c r="H53" s="5">
        <v>46145</v>
      </c>
    </row>
    <row r="54" spans="1:8" ht="57" customHeight="1" x14ac:dyDescent="0.3">
      <c r="B54" s="13"/>
      <c r="C54" s="10"/>
      <c r="D54" s="13"/>
      <c r="E54" s="10"/>
      <c r="F54" s="13"/>
      <c r="G54" s="10"/>
      <c r="H54" s="12"/>
    </row>
    <row r="55" spans="1:8" ht="16.5" customHeight="1" x14ac:dyDescent="0.3">
      <c r="B55" s="4">
        <f t="array" ref="B55:C55">Días+36+DATE(Calendario4Año,Calendario4MesOpción,1)-WEEKDAY(DATE(Calendario4Año,Calendario4MesOpción,1),DíaDeLaSemanaOpción)</f>
        <v>46146</v>
      </c>
      <c r="C55" s="4">
        <v>46147</v>
      </c>
      <c r="D55" s="62" t="s">
        <v>1</v>
      </c>
      <c r="E55" s="63"/>
      <c r="F55" s="63"/>
      <c r="G55" s="63"/>
      <c r="H55" s="63"/>
    </row>
    <row r="56" spans="1:8" ht="63.75" customHeight="1" x14ac:dyDescent="0.3">
      <c r="B56" s="10"/>
      <c r="C56" s="10"/>
      <c r="D56" s="64"/>
      <c r="E56" s="64"/>
      <c r="F56" s="64"/>
      <c r="G56" s="64"/>
      <c r="H56" s="64"/>
    </row>
    <row r="57" spans="1:8" ht="54" customHeight="1" x14ac:dyDescent="0.7">
      <c r="A57" s="2"/>
      <c r="B57" s="1">
        <f>YEAR(DATE(Calendario4Año,Calendario4MesOpción+1,1))</f>
        <v>2026</v>
      </c>
      <c r="C57" s="6" t="str">
        <f>TEXT(DATE(Calendario4Año,Calendario4MesOpción+1,1),"mmmm")</f>
        <v>mayo</v>
      </c>
      <c r="D57" s="9"/>
      <c r="E57" s="9"/>
      <c r="F57" s="9"/>
      <c r="G57" s="9"/>
      <c r="H57" s="2"/>
    </row>
    <row r="58" spans="1:8" ht="14.25" customHeight="1" x14ac:dyDescent="0.3">
      <c r="A58" s="3"/>
      <c r="B58" s="7" t="str">
        <f>UPPER(TEXT(B59,"dddd"))</f>
        <v>LUNES</v>
      </c>
      <c r="C58" s="8" t="str">
        <f t="shared" ref="C58:H58" si="4">UPPER(TEXT(C59,"dddd"))</f>
        <v>MARTES</v>
      </c>
      <c r="D58" s="7" t="str">
        <f t="shared" si="4"/>
        <v>MIÉRCOLES</v>
      </c>
      <c r="E58" s="8" t="str">
        <f t="shared" si="4"/>
        <v>JUEVES</v>
      </c>
      <c r="F58" s="7" t="str">
        <f t="shared" si="4"/>
        <v>VIERNES</v>
      </c>
      <c r="G58" s="8" t="str">
        <f t="shared" si="4"/>
        <v>SÁBADO</v>
      </c>
      <c r="H58" s="7" t="str">
        <f t="shared" si="4"/>
        <v>DOMINGO</v>
      </c>
    </row>
    <row r="59" spans="1:8" ht="16.5" customHeight="1" x14ac:dyDescent="0.3">
      <c r="B59" s="4">
        <f t="array" ref="B59:H59">Días+1+DATE(Calendario5Año,Calendario5MesOpción,1)-WEEKDAY(DATE(Calendario5Año,Calendario5MesOpción,1),DíaDeLaSemanaOpción)</f>
        <v>46139</v>
      </c>
      <c r="C59" s="4">
        <v>46140</v>
      </c>
      <c r="D59" s="4">
        <v>46141</v>
      </c>
      <c r="E59" s="4">
        <v>46142</v>
      </c>
      <c r="F59" s="4">
        <v>46143</v>
      </c>
      <c r="G59" s="4">
        <v>46144</v>
      </c>
      <c r="H59" s="5">
        <v>46145</v>
      </c>
    </row>
    <row r="60" spans="1:8" ht="57" customHeight="1" x14ac:dyDescent="0.3">
      <c r="B60" s="10"/>
      <c r="C60" s="10"/>
      <c r="D60" s="10"/>
      <c r="E60" s="10"/>
      <c r="F60" s="10"/>
      <c r="G60" s="10"/>
      <c r="H60" s="12"/>
    </row>
    <row r="61" spans="1:8" ht="16.5" customHeight="1" x14ac:dyDescent="0.3">
      <c r="B61" s="4">
        <f t="array" ref="B61:H61">Días+8+DATE(Calendario5Año,Calendario5MesOpción,1)-WEEKDAY(DATE(Calendario5Año,Calendario5MesOpción,1),DíaDeLaSemanaOpción)</f>
        <v>46146</v>
      </c>
      <c r="C61" s="4">
        <v>46147</v>
      </c>
      <c r="D61" s="4">
        <v>46148</v>
      </c>
      <c r="E61" s="4">
        <v>46149</v>
      </c>
      <c r="F61" s="4">
        <v>46150</v>
      </c>
      <c r="G61" s="4">
        <v>46151</v>
      </c>
      <c r="H61" s="5">
        <v>46152</v>
      </c>
    </row>
    <row r="62" spans="1:8" ht="57" customHeight="1" x14ac:dyDescent="0.3">
      <c r="B62" s="13"/>
      <c r="C62" s="10"/>
      <c r="D62" s="13"/>
      <c r="E62" s="10"/>
      <c r="F62" s="13"/>
      <c r="G62" s="10"/>
      <c r="H62" s="12"/>
    </row>
    <row r="63" spans="1:8" ht="16.5" customHeight="1" x14ac:dyDescent="0.3">
      <c r="B63" s="4">
        <f t="array" ref="B63:H63">Días+15+DATE(Calendario5Año,Calendario5MesOpción,1)-WEEKDAY(DATE(Calendario5Año,Calendario5MesOpción,1),DíaDeLaSemanaOpción)</f>
        <v>46153</v>
      </c>
      <c r="C63" s="4">
        <v>46154</v>
      </c>
      <c r="D63" s="4">
        <v>46155</v>
      </c>
      <c r="E63" s="4">
        <v>46156</v>
      </c>
      <c r="F63" s="4">
        <v>46157</v>
      </c>
      <c r="G63" s="4">
        <v>46158</v>
      </c>
      <c r="H63" s="5">
        <v>46159</v>
      </c>
    </row>
    <row r="64" spans="1:8" ht="57" customHeight="1" x14ac:dyDescent="0.3">
      <c r="B64" s="13"/>
      <c r="C64" s="10"/>
      <c r="D64" s="13"/>
      <c r="E64" s="10"/>
      <c r="F64" s="13"/>
      <c r="G64" s="10"/>
      <c r="H64" s="12"/>
    </row>
    <row r="65" spans="1:8" ht="16.5" customHeight="1" x14ac:dyDescent="0.3">
      <c r="B65" s="4">
        <f t="array" ref="B65:H65">Días+22+DATE(Calendario5Año,Calendario5MesOpción,1)-WEEKDAY(DATE(Calendario5Año,Calendario5MesOpción,1),DíaDeLaSemanaOpción)</f>
        <v>46160</v>
      </c>
      <c r="C65" s="4">
        <v>46161</v>
      </c>
      <c r="D65" s="4">
        <v>46162</v>
      </c>
      <c r="E65" s="4">
        <v>46163</v>
      </c>
      <c r="F65" s="4">
        <v>46164</v>
      </c>
      <c r="G65" s="4">
        <v>46165</v>
      </c>
      <c r="H65" s="5">
        <v>46166</v>
      </c>
    </row>
    <row r="66" spans="1:8" ht="57" customHeight="1" x14ac:dyDescent="0.3">
      <c r="B66" s="13"/>
      <c r="C66" s="10"/>
      <c r="D66" s="13"/>
      <c r="E66" s="10"/>
      <c r="F66" s="13"/>
      <c r="G66" s="10"/>
      <c r="H66" s="12"/>
    </row>
    <row r="67" spans="1:8" ht="16.5" customHeight="1" x14ac:dyDescent="0.3">
      <c r="B67" s="4">
        <f t="array" ref="B67:H67">Días+29+DATE(Calendario5Año,Calendario5MesOpción,1)-WEEKDAY(DATE(Calendario5Año,Calendario5MesOpción,1),DíaDeLaSemanaOpción)</f>
        <v>46167</v>
      </c>
      <c r="C67" s="4">
        <v>46168</v>
      </c>
      <c r="D67" s="4">
        <v>46169</v>
      </c>
      <c r="E67" s="4">
        <v>46170</v>
      </c>
      <c r="F67" s="4">
        <v>46171</v>
      </c>
      <c r="G67" s="4">
        <v>46172</v>
      </c>
      <c r="H67" s="5">
        <v>46173</v>
      </c>
    </row>
    <row r="68" spans="1:8" ht="57" customHeight="1" x14ac:dyDescent="0.3">
      <c r="B68" s="13"/>
      <c r="C68" s="10"/>
      <c r="D68" s="13"/>
      <c r="E68" s="10"/>
      <c r="F68" s="13"/>
      <c r="G68" s="10"/>
      <c r="H68" s="12"/>
    </row>
    <row r="69" spans="1:8" ht="16.5" customHeight="1" x14ac:dyDescent="0.3">
      <c r="B69" s="4">
        <f t="array" ref="B69:C69">Días+36+DATE(Calendario5Año,Calendario5MesOpción,1)-WEEKDAY(DATE(Calendario5Año,Calendario5MesOpción,1),DíaDeLaSemanaOpción)</f>
        <v>46174</v>
      </c>
      <c r="C69" s="4">
        <v>46175</v>
      </c>
      <c r="D69" s="62" t="s">
        <v>1</v>
      </c>
      <c r="E69" s="63"/>
      <c r="F69" s="63"/>
      <c r="G69" s="63"/>
      <c r="H69" s="63"/>
    </row>
    <row r="70" spans="1:8" ht="63.75" customHeight="1" x14ac:dyDescent="0.3">
      <c r="B70" s="13"/>
      <c r="C70" s="10"/>
      <c r="D70" s="64"/>
      <c r="E70" s="64"/>
      <c r="F70" s="64"/>
      <c r="G70" s="64"/>
      <c r="H70" s="64"/>
    </row>
    <row r="71" spans="1:8" ht="54" customHeight="1" x14ac:dyDescent="0.7">
      <c r="A71" s="2"/>
      <c r="B71" s="1">
        <f>YEAR(DATE(Calendario5Año,Calendario5MesOpción+1,1))</f>
        <v>2026</v>
      </c>
      <c r="C71" s="6" t="str">
        <f>TEXT(DATE(Calendario5Año,Calendario5MesOpción+1,1),"mmmm")</f>
        <v>junio</v>
      </c>
      <c r="D71" s="9"/>
      <c r="E71" s="9"/>
      <c r="F71" s="9"/>
      <c r="G71" s="9"/>
      <c r="H71" s="2"/>
    </row>
    <row r="72" spans="1:8" ht="14.25" customHeight="1" x14ac:dyDescent="0.3">
      <c r="A72" s="3"/>
      <c r="B72" s="7" t="str">
        <f>UPPER(TEXT(B73,"dddd"))</f>
        <v>LUNES</v>
      </c>
      <c r="C72" s="8" t="str">
        <f t="shared" ref="C72:H72" si="5">UPPER(TEXT(C73,"dddd"))</f>
        <v>MARTES</v>
      </c>
      <c r="D72" s="7" t="str">
        <f t="shared" si="5"/>
        <v>MIÉRCOLES</v>
      </c>
      <c r="E72" s="8" t="str">
        <f t="shared" si="5"/>
        <v>JUEVES</v>
      </c>
      <c r="F72" s="7" t="str">
        <f t="shared" si="5"/>
        <v>VIERNES</v>
      </c>
      <c r="G72" s="8" t="str">
        <f t="shared" si="5"/>
        <v>SÁBADO</v>
      </c>
      <c r="H72" s="7" t="str">
        <f t="shared" si="5"/>
        <v>DOMINGO</v>
      </c>
    </row>
    <row r="73" spans="1:8" ht="16.5" customHeight="1" x14ac:dyDescent="0.3">
      <c r="B73" s="4">
        <f t="array" ref="B73:H73">Días+1+DATE(Calendario6Año,Calendario6MesOpción,1)-WEEKDAY(DATE(Calendario6Año,Calendario6MesOpción,1),DíaDeLaSemanaOpción)</f>
        <v>46174</v>
      </c>
      <c r="C73" s="4">
        <v>46175</v>
      </c>
      <c r="D73" s="4">
        <v>46176</v>
      </c>
      <c r="E73" s="4">
        <v>46177</v>
      </c>
      <c r="F73" s="4">
        <v>46178</v>
      </c>
      <c r="G73" s="4">
        <v>46179</v>
      </c>
      <c r="H73" s="5">
        <v>46180</v>
      </c>
    </row>
    <row r="74" spans="1:8" ht="56.25" customHeight="1" x14ac:dyDescent="0.3">
      <c r="B74" s="10"/>
      <c r="C74" s="52"/>
      <c r="D74" s="13"/>
      <c r="E74" s="52"/>
      <c r="F74" s="13"/>
      <c r="G74" s="52"/>
      <c r="H74" s="11"/>
    </row>
    <row r="75" spans="1:8" ht="16.5" customHeight="1" x14ac:dyDescent="0.3">
      <c r="B75" s="4">
        <f t="array" ref="B75:H75">Días+8+DATE(Calendario6Año,Calendario6MesOpción,1)-WEEKDAY(DATE(Calendario6Año,Calendario6MesOpción,1),DíaDeLaSemanaOpción)</f>
        <v>46181</v>
      </c>
      <c r="C75" s="4">
        <v>46182</v>
      </c>
      <c r="D75" s="4">
        <v>46183</v>
      </c>
      <c r="E75" s="4">
        <v>46184</v>
      </c>
      <c r="F75" s="4">
        <v>46185</v>
      </c>
      <c r="G75" s="4">
        <v>46186</v>
      </c>
      <c r="H75" s="5">
        <v>46187</v>
      </c>
    </row>
    <row r="76" spans="1:8" ht="56.25" customHeight="1" x14ac:dyDescent="0.3">
      <c r="B76" s="13"/>
      <c r="C76" s="52"/>
      <c r="D76" s="13"/>
      <c r="E76" s="52"/>
      <c r="F76" s="13"/>
      <c r="G76" s="52"/>
      <c r="H76" s="11"/>
    </row>
    <row r="77" spans="1:8" ht="16.5" customHeight="1" x14ac:dyDescent="0.3">
      <c r="B77" s="4">
        <f t="array" ref="B77:H77">Días+15+DATE(Calendario6Año,Calendario6MesOpción,1)-WEEKDAY(DATE(Calendario6Año,Calendario6MesOpción,1),DíaDeLaSemanaOpción)</f>
        <v>46188</v>
      </c>
      <c r="C77" s="4">
        <v>46189</v>
      </c>
      <c r="D77" s="4">
        <v>46190</v>
      </c>
      <c r="E77" s="4">
        <v>46191</v>
      </c>
      <c r="F77" s="4">
        <v>46192</v>
      </c>
      <c r="G77" s="4">
        <v>46193</v>
      </c>
      <c r="H77" s="5">
        <v>46194</v>
      </c>
    </row>
    <row r="78" spans="1:8" ht="56.25" customHeight="1" x14ac:dyDescent="0.3">
      <c r="B78" s="13"/>
      <c r="C78" s="52"/>
      <c r="D78" s="13"/>
      <c r="E78" s="52"/>
      <c r="F78" s="13"/>
      <c r="G78" s="52"/>
      <c r="H78" s="11"/>
    </row>
    <row r="79" spans="1:8" ht="16.5" customHeight="1" x14ac:dyDescent="0.3">
      <c r="B79" s="4">
        <f t="array" ref="B79:H79">Días+22+DATE(Calendario6Año,Calendario6MesOpción,1)-WEEKDAY(DATE(Calendario6Año,Calendario6MesOpción,1),DíaDeLaSemanaOpción)</f>
        <v>46195</v>
      </c>
      <c r="C79" s="4">
        <v>46196</v>
      </c>
      <c r="D79" s="4">
        <v>46197</v>
      </c>
      <c r="E79" s="4">
        <v>46198</v>
      </c>
      <c r="F79" s="4">
        <v>46199</v>
      </c>
      <c r="G79" s="4">
        <v>46200</v>
      </c>
      <c r="H79" s="5">
        <v>46201</v>
      </c>
    </row>
    <row r="80" spans="1:8" ht="56.25" customHeight="1" x14ac:dyDescent="0.3">
      <c r="B80" s="13"/>
      <c r="C80" s="52"/>
      <c r="D80" s="13"/>
      <c r="E80" s="52"/>
      <c r="F80" s="13"/>
      <c r="G80" s="52"/>
      <c r="H80" s="11"/>
    </row>
    <row r="81" spans="1:8" ht="16.5" customHeight="1" x14ac:dyDescent="0.3">
      <c r="B81" s="4">
        <f t="array" ref="B81:H81">Días+29+DATE(Calendario6Año,Calendario6MesOpción,1)-WEEKDAY(DATE(Calendario6Año,Calendario6MesOpción,1),DíaDeLaSemanaOpción)</f>
        <v>46202</v>
      </c>
      <c r="C81" s="4">
        <v>46203</v>
      </c>
      <c r="D81" s="4">
        <v>46204</v>
      </c>
      <c r="E81" s="4">
        <v>46205</v>
      </c>
      <c r="F81" s="4">
        <v>46206</v>
      </c>
      <c r="G81" s="4">
        <v>46207</v>
      </c>
      <c r="H81" s="5">
        <v>46208</v>
      </c>
    </row>
    <row r="82" spans="1:8" ht="57" customHeight="1" x14ac:dyDescent="0.3">
      <c r="B82" s="13"/>
      <c r="C82" s="52"/>
      <c r="D82" s="13"/>
      <c r="E82" s="10"/>
      <c r="F82" s="10"/>
      <c r="G82" s="10"/>
      <c r="H82" s="12"/>
    </row>
    <row r="83" spans="1:8" ht="16.5" customHeight="1" x14ac:dyDescent="0.3">
      <c r="B83" s="4">
        <f t="array" ref="B83:C83">Días+36+DATE(Calendario6Año,Calendario6MesOpción,1)-WEEKDAY(DATE(Calendario6Año,Calendario6MesOpción,1),DíaDeLaSemanaOpción)</f>
        <v>46209</v>
      </c>
      <c r="C83" s="4">
        <v>46210</v>
      </c>
      <c r="D83" s="62" t="s">
        <v>1</v>
      </c>
      <c r="E83" s="63"/>
      <c r="F83" s="63"/>
      <c r="G83" s="63"/>
      <c r="H83" s="63"/>
    </row>
    <row r="84" spans="1:8" ht="63.75" customHeight="1" x14ac:dyDescent="0.3">
      <c r="B84" s="10"/>
      <c r="C84" s="10"/>
      <c r="D84" s="64"/>
      <c r="E84" s="64"/>
      <c r="F84" s="64"/>
      <c r="G84" s="64"/>
      <c r="H84" s="64"/>
    </row>
    <row r="85" spans="1:8" ht="54" customHeight="1" x14ac:dyDescent="0.7">
      <c r="A85" s="2"/>
      <c r="B85" s="1">
        <f>YEAR(DATE(Calendario6Año,Calendario6MesOpción+1,1))</f>
        <v>2026</v>
      </c>
      <c r="C85" s="6" t="str">
        <f>TEXT(DATE(Calendario6Año,Calendario6MesOpción+1,1),"mmmm")</f>
        <v>julio</v>
      </c>
      <c r="D85" s="9"/>
      <c r="E85" s="9"/>
      <c r="F85" s="9"/>
      <c r="G85" s="9"/>
      <c r="H85" s="2"/>
    </row>
    <row r="86" spans="1:8" ht="14.25" customHeight="1" x14ac:dyDescent="0.3">
      <c r="A86" s="3"/>
      <c r="B86" s="7" t="str">
        <f>UPPER(TEXT(B87,"dddd"))</f>
        <v>LUNES</v>
      </c>
      <c r="C86" s="8" t="str">
        <f t="shared" ref="C86:H86" si="6">UPPER(TEXT(C87,"dddd"))</f>
        <v>MARTES</v>
      </c>
      <c r="D86" s="7" t="str">
        <f t="shared" si="6"/>
        <v>MIÉRCOLES</v>
      </c>
      <c r="E86" s="8" t="str">
        <f t="shared" si="6"/>
        <v>JUEVES</v>
      </c>
      <c r="F86" s="7" t="str">
        <f t="shared" si="6"/>
        <v>VIERNES</v>
      </c>
      <c r="G86" s="8" t="str">
        <f t="shared" si="6"/>
        <v>SÁBADO</v>
      </c>
      <c r="H86" s="7" t="str">
        <f t="shared" si="6"/>
        <v>DOMINGO</v>
      </c>
    </row>
    <row r="87" spans="1:8" ht="16.5" customHeight="1" x14ac:dyDescent="0.3">
      <c r="B87" s="4">
        <f t="array" ref="B87:H87">Días+1+DATE(Calendario7Año,Calendario7MesOpción,1)-WEEKDAY(DATE(Calendario7Año,Calendario7MesOpción,1),DíaDeLaSemanaOpción)</f>
        <v>46202</v>
      </c>
      <c r="C87" s="4">
        <v>46203</v>
      </c>
      <c r="D87" s="4">
        <v>46204</v>
      </c>
      <c r="E87" s="4">
        <v>46205</v>
      </c>
      <c r="F87" s="4">
        <v>46206</v>
      </c>
      <c r="G87" s="4">
        <v>46207</v>
      </c>
      <c r="H87" s="5">
        <v>46208</v>
      </c>
    </row>
    <row r="88" spans="1:8" ht="56.25" customHeight="1" x14ac:dyDescent="0.3">
      <c r="B88" s="10"/>
      <c r="C88" s="10"/>
      <c r="D88" s="10"/>
      <c r="E88" s="10"/>
      <c r="F88" s="13"/>
      <c r="G88" s="10"/>
      <c r="H88" s="11"/>
    </row>
    <row r="89" spans="1:8" ht="16.5" customHeight="1" x14ac:dyDescent="0.3">
      <c r="B89" s="4">
        <f t="array" ref="B89:H89">Días+8+DATE(Calendario7Año,Calendario7MesOpción,1)-WEEKDAY(DATE(Calendario7Año,Calendario7MesOpción,1),DíaDeLaSemanaOpción)</f>
        <v>46209</v>
      </c>
      <c r="C89" s="4">
        <v>46210</v>
      </c>
      <c r="D89" s="4">
        <v>46211</v>
      </c>
      <c r="E89" s="4">
        <v>46212</v>
      </c>
      <c r="F89" s="4">
        <v>46213</v>
      </c>
      <c r="G89" s="4">
        <v>46214</v>
      </c>
      <c r="H89" s="5">
        <v>46215</v>
      </c>
    </row>
    <row r="90" spans="1:8" ht="56.25" customHeight="1" x14ac:dyDescent="0.3">
      <c r="B90" s="13"/>
      <c r="C90" s="10"/>
      <c r="D90" s="13"/>
      <c r="E90" s="10"/>
      <c r="F90" s="13"/>
      <c r="G90" s="10"/>
      <c r="H90" s="11"/>
    </row>
    <row r="91" spans="1:8" ht="16.5" customHeight="1" x14ac:dyDescent="0.3">
      <c r="B91" s="4">
        <f t="array" ref="B91:H91">Días+15+DATE(Calendario7Año,Calendario7MesOpción,1)-WEEKDAY(DATE(Calendario7Año,Calendario7MesOpción,1),DíaDeLaSemanaOpción)</f>
        <v>46216</v>
      </c>
      <c r="C91" s="4">
        <v>46217</v>
      </c>
      <c r="D91" s="4">
        <v>46218</v>
      </c>
      <c r="E91" s="4">
        <v>46219</v>
      </c>
      <c r="F91" s="4">
        <v>46220</v>
      </c>
      <c r="G91" s="4">
        <v>46221</v>
      </c>
      <c r="H91" s="5">
        <v>46222</v>
      </c>
    </row>
    <row r="92" spans="1:8" ht="56.25" customHeight="1" x14ac:dyDescent="0.3">
      <c r="B92" s="13"/>
      <c r="C92" s="10"/>
      <c r="D92" s="13"/>
      <c r="E92" s="10"/>
      <c r="F92" s="13"/>
      <c r="G92" s="10"/>
      <c r="H92" s="11"/>
    </row>
    <row r="93" spans="1:8" ht="16.5" customHeight="1" x14ac:dyDescent="0.3">
      <c r="B93" s="4">
        <f t="array" ref="B93:H93">Días+22+DATE(Calendario7Año,Calendario7MesOpción,1)-WEEKDAY(DATE(Calendario7Año,Calendario7MesOpción,1),DíaDeLaSemanaOpción)</f>
        <v>46223</v>
      </c>
      <c r="C93" s="4">
        <v>46224</v>
      </c>
      <c r="D93" s="4">
        <v>46225</v>
      </c>
      <c r="E93" s="4">
        <v>46226</v>
      </c>
      <c r="F93" s="4">
        <v>46227</v>
      </c>
      <c r="G93" s="4">
        <v>46228</v>
      </c>
      <c r="H93" s="5">
        <v>46229</v>
      </c>
    </row>
    <row r="94" spans="1:8" ht="56.25" customHeight="1" x14ac:dyDescent="0.3">
      <c r="B94" s="13"/>
      <c r="C94" s="10"/>
      <c r="D94" s="13"/>
      <c r="E94" s="10"/>
      <c r="F94" s="13"/>
      <c r="G94" s="10"/>
      <c r="H94" s="11"/>
    </row>
    <row r="95" spans="1:8" ht="16.5" customHeight="1" x14ac:dyDescent="0.3">
      <c r="B95" s="4">
        <f t="array" ref="B95:H95">Días+29+DATE(Calendario7Año,Calendario7MesOpción,1)-WEEKDAY(DATE(Calendario7Año,Calendario7MesOpción,1),DíaDeLaSemanaOpción)</f>
        <v>46230</v>
      </c>
      <c r="C95" s="4">
        <v>46231</v>
      </c>
      <c r="D95" s="4">
        <v>46232</v>
      </c>
      <c r="E95" s="4">
        <v>46233</v>
      </c>
      <c r="F95" s="4">
        <v>46234</v>
      </c>
      <c r="G95" s="4">
        <v>46235</v>
      </c>
      <c r="H95" s="5">
        <v>46236</v>
      </c>
    </row>
    <row r="96" spans="1:8" ht="57" customHeight="1" x14ac:dyDescent="0.3">
      <c r="B96" s="13"/>
      <c r="C96" s="10"/>
      <c r="D96" s="13"/>
      <c r="E96" s="10"/>
      <c r="F96" s="13"/>
      <c r="G96" s="10"/>
      <c r="H96" s="12"/>
    </row>
    <row r="97" spans="1:8" ht="16.5" customHeight="1" x14ac:dyDescent="0.3">
      <c r="B97" s="4">
        <f t="array" ref="B97:C97">Días+36+DATE(Calendario7Año,Calendario7MesOpción,1)-WEEKDAY(DATE(Calendario7Año,Calendario7MesOpción,1),DíaDeLaSemanaOpción)</f>
        <v>46237</v>
      </c>
      <c r="C97" s="4">
        <v>46238</v>
      </c>
      <c r="D97" s="62" t="s">
        <v>1</v>
      </c>
      <c r="E97" s="63"/>
      <c r="F97" s="63"/>
      <c r="G97" s="63"/>
      <c r="H97" s="63"/>
    </row>
    <row r="98" spans="1:8" ht="63.75" customHeight="1" x14ac:dyDescent="0.3">
      <c r="B98" s="10"/>
      <c r="C98" s="10"/>
      <c r="D98" s="64"/>
      <c r="E98" s="64"/>
      <c r="F98" s="64"/>
      <c r="G98" s="64"/>
      <c r="H98" s="64"/>
    </row>
    <row r="99" spans="1:8" ht="54" customHeight="1" x14ac:dyDescent="0.7">
      <c r="A99" s="2"/>
      <c r="B99" s="1">
        <f>YEAR(DATE(Calendario7Año,Calendario7MesOpción+1,1))</f>
        <v>2026</v>
      </c>
      <c r="C99" s="6" t="str">
        <f>TEXT(DATE(Calendario7Año,Calendario7MesOpción+1,1),"mmmm")</f>
        <v>agosto</v>
      </c>
      <c r="D99" s="9"/>
      <c r="E99" s="9"/>
      <c r="F99" s="9"/>
      <c r="G99" s="9"/>
      <c r="H99" s="2"/>
    </row>
    <row r="100" spans="1:8" ht="14.25" customHeight="1" x14ac:dyDescent="0.3">
      <c r="A100" s="3"/>
      <c r="B100" s="7" t="str">
        <f>UPPER(TEXT(B101,"dddd"))</f>
        <v>LUNES</v>
      </c>
      <c r="C100" s="8" t="str">
        <f t="shared" ref="C100:H100" si="7">UPPER(TEXT(C101,"dddd"))</f>
        <v>MARTES</v>
      </c>
      <c r="D100" s="7" t="str">
        <f t="shared" si="7"/>
        <v>MIÉRCOLES</v>
      </c>
      <c r="E100" s="8" t="str">
        <f t="shared" si="7"/>
        <v>JUEVES</v>
      </c>
      <c r="F100" s="7" t="str">
        <f t="shared" si="7"/>
        <v>VIERNES</v>
      </c>
      <c r="G100" s="8" t="str">
        <f t="shared" si="7"/>
        <v>SÁBADO</v>
      </c>
      <c r="H100" s="7" t="str">
        <f t="shared" si="7"/>
        <v>DOMINGO</v>
      </c>
    </row>
    <row r="101" spans="1:8" ht="16.5" customHeight="1" x14ac:dyDescent="0.3">
      <c r="B101" s="4">
        <f t="array" ref="B101:H101">Días+1+DATE(Calendario8Año,Calendario8MesOpción,1)-WEEKDAY(DATE(Calendario8Año,Calendario8MesOpción,1),DíaDeLaSemanaOpción)</f>
        <v>46230</v>
      </c>
      <c r="C101" s="4">
        <v>46231</v>
      </c>
      <c r="D101" s="4">
        <v>46232</v>
      </c>
      <c r="E101" s="4">
        <v>46233</v>
      </c>
      <c r="F101" s="4">
        <v>46234</v>
      </c>
      <c r="G101" s="4">
        <v>46235</v>
      </c>
      <c r="H101" s="5">
        <v>46236</v>
      </c>
    </row>
    <row r="102" spans="1:8" ht="56.25" customHeight="1" x14ac:dyDescent="0.3">
      <c r="B102" s="10"/>
      <c r="C102" s="10"/>
      <c r="D102" s="10"/>
      <c r="E102" s="10"/>
      <c r="F102" s="10"/>
      <c r="G102" s="10"/>
      <c r="H102" s="11"/>
    </row>
    <row r="103" spans="1:8" ht="16.5" customHeight="1" x14ac:dyDescent="0.3">
      <c r="B103" s="4">
        <f t="array" ref="B103:H103">Días+8+DATE(Calendario8Año,Calendario8MesOpción,1)-WEEKDAY(DATE(Calendario8Año,Calendario8MesOpción,1),DíaDeLaSemanaOpción)</f>
        <v>46237</v>
      </c>
      <c r="C103" s="4">
        <v>46238</v>
      </c>
      <c r="D103" s="4">
        <v>46239</v>
      </c>
      <c r="E103" s="4">
        <v>46240</v>
      </c>
      <c r="F103" s="4">
        <v>46241</v>
      </c>
      <c r="G103" s="4">
        <v>46242</v>
      </c>
      <c r="H103" s="5">
        <v>46243</v>
      </c>
    </row>
    <row r="104" spans="1:8" ht="56.25" customHeight="1" x14ac:dyDescent="0.3">
      <c r="B104" s="13"/>
      <c r="C104" s="10"/>
      <c r="D104" s="13"/>
      <c r="E104" s="10"/>
      <c r="F104" s="13"/>
      <c r="G104" s="10"/>
      <c r="H104" s="11"/>
    </row>
    <row r="105" spans="1:8" ht="16.5" customHeight="1" x14ac:dyDescent="0.3">
      <c r="B105" s="4">
        <f t="array" ref="B105:H105">Días+15+DATE(Calendario8Año,Calendario8MesOpción,1)-WEEKDAY(DATE(Calendario8Año,Calendario8MesOpción,1),DíaDeLaSemanaOpción)</f>
        <v>46244</v>
      </c>
      <c r="C105" s="4">
        <v>46245</v>
      </c>
      <c r="D105" s="4">
        <v>46246</v>
      </c>
      <c r="E105" s="4">
        <v>46247</v>
      </c>
      <c r="F105" s="4">
        <v>46248</v>
      </c>
      <c r="G105" s="4">
        <v>46249</v>
      </c>
      <c r="H105" s="5">
        <v>46250</v>
      </c>
    </row>
    <row r="106" spans="1:8" ht="56.25" customHeight="1" x14ac:dyDescent="0.3">
      <c r="B106" s="13"/>
      <c r="C106" s="10"/>
      <c r="D106" s="13"/>
      <c r="E106" s="10"/>
      <c r="F106" s="13"/>
      <c r="G106" s="10"/>
      <c r="H106" s="11"/>
    </row>
    <row r="107" spans="1:8" ht="16.5" customHeight="1" x14ac:dyDescent="0.3">
      <c r="B107" s="4">
        <f t="array" ref="B107:H107">Días+22+DATE(Calendario8Año,Calendario8MesOpción,1)-WEEKDAY(DATE(Calendario8Año,Calendario8MesOpción,1),DíaDeLaSemanaOpción)</f>
        <v>46251</v>
      </c>
      <c r="C107" s="4">
        <v>46252</v>
      </c>
      <c r="D107" s="4">
        <v>46253</v>
      </c>
      <c r="E107" s="4">
        <v>46254</v>
      </c>
      <c r="F107" s="4">
        <v>46255</v>
      </c>
      <c r="G107" s="4">
        <v>46256</v>
      </c>
      <c r="H107" s="5">
        <v>46257</v>
      </c>
    </row>
    <row r="108" spans="1:8" ht="56.25" customHeight="1" x14ac:dyDescent="0.3">
      <c r="B108" s="13"/>
      <c r="C108" s="10"/>
      <c r="D108" s="13"/>
      <c r="E108" s="10"/>
      <c r="F108" s="13"/>
      <c r="G108" s="10"/>
      <c r="H108" s="11"/>
    </row>
    <row r="109" spans="1:8" ht="16.5" customHeight="1" x14ac:dyDescent="0.3">
      <c r="B109" s="4">
        <f t="array" ref="B109:H109">Días+29+DATE(Calendario8Año,Calendario8MesOpción,1)-WEEKDAY(DATE(Calendario8Año,Calendario8MesOpción,1),DíaDeLaSemanaOpción)</f>
        <v>46258</v>
      </c>
      <c r="C109" s="4">
        <v>46259</v>
      </c>
      <c r="D109" s="4">
        <v>46260</v>
      </c>
      <c r="E109" s="4">
        <v>46261</v>
      </c>
      <c r="F109" s="4">
        <v>46262</v>
      </c>
      <c r="G109" s="4">
        <v>46263</v>
      </c>
      <c r="H109" s="5">
        <v>46264</v>
      </c>
    </row>
    <row r="110" spans="1:8" ht="57" customHeight="1" x14ac:dyDescent="0.3">
      <c r="B110" s="13"/>
      <c r="C110" s="10"/>
      <c r="D110" s="13"/>
      <c r="E110" s="10"/>
      <c r="F110" s="13"/>
      <c r="G110" s="10"/>
      <c r="H110" s="12"/>
    </row>
    <row r="111" spans="1:8" ht="16.5" customHeight="1" x14ac:dyDescent="0.3">
      <c r="B111" s="4">
        <f t="array" ref="B111:C111">Días+36+DATE(Calendario8Año,Calendario8MesOpción,1)-WEEKDAY(DATE(Calendario8Año,Calendario8MesOpción,1),DíaDeLaSemanaOpción)</f>
        <v>46265</v>
      </c>
      <c r="C111" s="4">
        <v>46266</v>
      </c>
      <c r="D111" s="62" t="s">
        <v>1</v>
      </c>
      <c r="E111" s="63"/>
      <c r="F111" s="63"/>
      <c r="G111" s="63"/>
      <c r="H111" s="63"/>
    </row>
    <row r="112" spans="1:8" ht="63.75" customHeight="1" x14ac:dyDescent="0.3">
      <c r="B112" s="13"/>
      <c r="C112" s="10"/>
      <c r="D112" s="64"/>
      <c r="E112" s="64"/>
      <c r="F112" s="64"/>
      <c r="G112" s="64"/>
      <c r="H112" s="64"/>
    </row>
    <row r="113" spans="1:8" ht="54" customHeight="1" x14ac:dyDescent="0.7">
      <c r="A113" s="2"/>
      <c r="B113" s="1">
        <f>YEAR(DATE(Calendario8Año,Calendario8MesOpción+1,1))</f>
        <v>2026</v>
      </c>
      <c r="C113" s="6" t="str">
        <f>TEXT(DATE(Calendario8Año,Calendario8MesOpción+1,1),"mmmm")</f>
        <v>septiembre</v>
      </c>
      <c r="D113" s="9"/>
      <c r="E113" s="9"/>
      <c r="F113" s="9"/>
      <c r="G113" s="9"/>
      <c r="H113" s="2"/>
    </row>
    <row r="114" spans="1:8" ht="14.25" customHeight="1" x14ac:dyDescent="0.3">
      <c r="A114" s="3"/>
      <c r="B114" s="7" t="str">
        <f>UPPER(TEXT(B115,"dddd"))</f>
        <v>LUNES</v>
      </c>
      <c r="C114" s="8" t="str">
        <f t="shared" ref="C114:H114" si="8">UPPER(TEXT(C115,"dddd"))</f>
        <v>MARTES</v>
      </c>
      <c r="D114" s="7" t="str">
        <f t="shared" si="8"/>
        <v>MIÉRCOLES</v>
      </c>
      <c r="E114" s="8" t="str">
        <f t="shared" si="8"/>
        <v>JUEVES</v>
      </c>
      <c r="F114" s="7" t="str">
        <f t="shared" si="8"/>
        <v>VIERNES</v>
      </c>
      <c r="G114" s="8" t="str">
        <f t="shared" si="8"/>
        <v>SÁBADO</v>
      </c>
      <c r="H114" s="7" t="str">
        <f t="shared" si="8"/>
        <v>DOMINGO</v>
      </c>
    </row>
    <row r="115" spans="1:8" ht="16.5" customHeight="1" x14ac:dyDescent="0.3">
      <c r="B115" s="4">
        <f t="array" ref="B115:H115">Días+1+DATE(Calendario9Año,Calendario9MesOpción,1)-WEEKDAY(DATE(Calendario9Año,Calendario9MesOpción,1),DíaDeLaSemanaOpción)</f>
        <v>46265</v>
      </c>
      <c r="C115" s="4">
        <v>46266</v>
      </c>
      <c r="D115" s="4">
        <v>46267</v>
      </c>
      <c r="E115" s="4">
        <v>46268</v>
      </c>
      <c r="F115" s="4">
        <v>46269</v>
      </c>
      <c r="G115" s="4">
        <v>46270</v>
      </c>
      <c r="H115" s="5">
        <v>46271</v>
      </c>
    </row>
    <row r="116" spans="1:8" ht="56.25" customHeight="1" x14ac:dyDescent="0.3">
      <c r="B116" s="10"/>
      <c r="C116" s="10"/>
      <c r="D116" s="13"/>
      <c r="E116" s="10"/>
      <c r="F116" s="13"/>
      <c r="G116" s="10"/>
      <c r="H116" s="11"/>
    </row>
    <row r="117" spans="1:8" ht="16.5" customHeight="1" x14ac:dyDescent="0.3">
      <c r="B117" s="4">
        <f t="array" ref="B117:H117">Días+8+DATE(Calendario9Año,Calendario9MesOpción,1)-WEEKDAY(DATE(Calendario9Año,Calendario9MesOpción,1),DíaDeLaSemanaOpción)</f>
        <v>46272</v>
      </c>
      <c r="C117" s="4">
        <v>46273</v>
      </c>
      <c r="D117" s="4">
        <v>46274</v>
      </c>
      <c r="E117" s="4">
        <v>46275</v>
      </c>
      <c r="F117" s="4">
        <v>46276</v>
      </c>
      <c r="G117" s="4">
        <v>46277</v>
      </c>
      <c r="H117" s="5">
        <v>46278</v>
      </c>
    </row>
    <row r="118" spans="1:8" ht="56.25" customHeight="1" x14ac:dyDescent="0.3">
      <c r="B118" s="13"/>
      <c r="C118" s="10"/>
      <c r="D118" s="13"/>
      <c r="E118" s="10"/>
      <c r="F118" s="13"/>
      <c r="G118" s="10"/>
      <c r="H118" s="11"/>
    </row>
    <row r="119" spans="1:8" ht="16.5" customHeight="1" x14ac:dyDescent="0.3">
      <c r="B119" s="4">
        <f t="array" ref="B119:H119">Días+15+DATE(Calendario9Año,Calendario9MesOpción,1)-WEEKDAY(DATE(Calendario9Año,Calendario9MesOpción,1),DíaDeLaSemanaOpción)</f>
        <v>46279</v>
      </c>
      <c r="C119" s="4">
        <v>46280</v>
      </c>
      <c r="D119" s="4">
        <v>46281</v>
      </c>
      <c r="E119" s="4">
        <v>46282</v>
      </c>
      <c r="F119" s="4">
        <v>46283</v>
      </c>
      <c r="G119" s="4">
        <v>46284</v>
      </c>
      <c r="H119" s="5">
        <v>46285</v>
      </c>
    </row>
    <row r="120" spans="1:8" ht="56.25" customHeight="1" x14ac:dyDescent="0.3">
      <c r="B120" s="13"/>
      <c r="C120" s="10"/>
      <c r="D120" s="13"/>
      <c r="E120" s="10"/>
      <c r="F120" s="13"/>
      <c r="G120" s="10"/>
      <c r="H120" s="11"/>
    </row>
    <row r="121" spans="1:8" ht="16.5" customHeight="1" x14ac:dyDescent="0.3">
      <c r="B121" s="4">
        <f t="array" ref="B121:H121">Días+22+DATE(Calendario9Año,Calendario9MesOpción,1)-WEEKDAY(DATE(Calendario9Año,Calendario9MesOpción,1),DíaDeLaSemanaOpción)</f>
        <v>46286</v>
      </c>
      <c r="C121" s="4">
        <v>46287</v>
      </c>
      <c r="D121" s="4">
        <v>46288</v>
      </c>
      <c r="E121" s="4">
        <v>46289</v>
      </c>
      <c r="F121" s="4">
        <v>46290</v>
      </c>
      <c r="G121" s="4">
        <v>46291</v>
      </c>
      <c r="H121" s="5">
        <v>46292</v>
      </c>
    </row>
    <row r="122" spans="1:8" ht="56.25" customHeight="1" x14ac:dyDescent="0.3">
      <c r="B122" s="13"/>
      <c r="C122" s="10"/>
      <c r="D122" s="13"/>
      <c r="E122" s="10"/>
      <c r="F122" s="13"/>
      <c r="G122" s="10"/>
      <c r="H122" s="11"/>
    </row>
    <row r="123" spans="1:8" ht="16.5" customHeight="1" x14ac:dyDescent="0.3">
      <c r="B123" s="4">
        <f t="array" ref="B123:H123">Días+29+DATE(Calendario9Año,Calendario9MesOpción,1)-WEEKDAY(DATE(Calendario9Año,Calendario9MesOpción,1),DíaDeLaSemanaOpción)</f>
        <v>46293</v>
      </c>
      <c r="C123" s="4">
        <v>46294</v>
      </c>
      <c r="D123" s="4">
        <v>46295</v>
      </c>
      <c r="E123" s="4">
        <v>46296</v>
      </c>
      <c r="F123" s="4">
        <v>46297</v>
      </c>
      <c r="G123" s="4">
        <v>46298</v>
      </c>
      <c r="H123" s="5">
        <v>46299</v>
      </c>
    </row>
    <row r="124" spans="1:8" ht="57" customHeight="1" x14ac:dyDescent="0.3">
      <c r="B124" s="13"/>
      <c r="C124" s="10"/>
      <c r="D124" s="13"/>
      <c r="E124" s="10"/>
      <c r="F124" s="10"/>
      <c r="G124" s="10"/>
      <c r="H124" s="12"/>
    </row>
    <row r="125" spans="1:8" ht="16.5" customHeight="1" x14ac:dyDescent="0.3">
      <c r="B125" s="4">
        <f t="array" ref="B125:C125">Días+36+DATE(Calendario9Año,Calendario9MesOpción,1)-WEEKDAY(DATE(Calendario9Año,Calendario9MesOpción,1),DíaDeLaSemanaOpción)</f>
        <v>46300</v>
      </c>
      <c r="C125" s="4">
        <v>46301</v>
      </c>
      <c r="D125" s="62" t="s">
        <v>1</v>
      </c>
      <c r="E125" s="63"/>
      <c r="F125" s="63"/>
      <c r="G125" s="63"/>
      <c r="H125" s="63"/>
    </row>
    <row r="126" spans="1:8" ht="63.75" customHeight="1" x14ac:dyDescent="0.3">
      <c r="B126" s="10"/>
      <c r="C126" s="10"/>
      <c r="D126" s="64"/>
      <c r="E126" s="64"/>
      <c r="F126" s="64"/>
      <c r="G126" s="64"/>
      <c r="H126" s="64"/>
    </row>
    <row r="127" spans="1:8" ht="54" customHeight="1" x14ac:dyDescent="0.7">
      <c r="A127" s="2"/>
      <c r="B127" s="53">
        <f>YEAR(DATE(Calendario9Año,Calendario9MesOpción+1,1))</f>
        <v>2026</v>
      </c>
      <c r="C127" s="54" t="str">
        <f>TEXT(DATE(Calendario9Año,Calendario9MesOpción+1,1),"mmmm")</f>
        <v>octubre</v>
      </c>
      <c r="D127" s="9"/>
      <c r="E127" s="9"/>
      <c r="F127" s="9"/>
      <c r="G127" s="9"/>
      <c r="H127" s="2"/>
    </row>
    <row r="128" spans="1:8" ht="14.25" customHeight="1" x14ac:dyDescent="0.3">
      <c r="A128" s="3"/>
      <c r="B128" s="55" t="str">
        <f>UPPER(TEXT(B129,"dddd"))</f>
        <v>LUNES</v>
      </c>
      <c r="C128" s="56" t="str">
        <f t="shared" ref="C128:H128" si="9">UPPER(TEXT(C129,"dddd"))</f>
        <v>MARTES</v>
      </c>
      <c r="D128" s="55" t="str">
        <f t="shared" si="9"/>
        <v>MIÉRCOLES</v>
      </c>
      <c r="E128" s="56" t="str">
        <f t="shared" si="9"/>
        <v>JUEVES</v>
      </c>
      <c r="F128" s="55" t="str">
        <f t="shared" si="9"/>
        <v>VIERNES</v>
      </c>
      <c r="G128" s="56" t="str">
        <f t="shared" si="9"/>
        <v>SÁBADO</v>
      </c>
      <c r="H128" s="55" t="str">
        <f t="shared" si="9"/>
        <v>DOMINGO</v>
      </c>
    </row>
    <row r="129" spans="2:8" ht="16.5" customHeight="1" x14ac:dyDescent="0.3">
      <c r="B129" s="4">
        <f t="array" ref="B129:H129">Días+1+DATE(Calendario10Año,Calendario10MesOpción,1)-WEEKDAY(DATE(Calendario10Año,Calendario10MesOpción,1),DíaDeLaSemanaOpción)</f>
        <v>46293</v>
      </c>
      <c r="C129" s="4">
        <v>46294</v>
      </c>
      <c r="D129" s="4">
        <v>46295</v>
      </c>
      <c r="E129" s="4">
        <v>46296</v>
      </c>
      <c r="F129" s="4">
        <v>46297</v>
      </c>
      <c r="G129" s="4">
        <v>46298</v>
      </c>
      <c r="H129" s="5">
        <v>46299</v>
      </c>
    </row>
    <row r="130" spans="2:8" ht="56.25" customHeight="1" x14ac:dyDescent="0.3">
      <c r="B130" s="10"/>
      <c r="C130" s="10"/>
      <c r="D130" s="10"/>
      <c r="E130" s="10"/>
      <c r="F130" s="52"/>
      <c r="G130" s="10"/>
      <c r="H130" s="11"/>
    </row>
    <row r="131" spans="2:8" ht="16.5" customHeight="1" x14ac:dyDescent="0.3">
      <c r="B131" s="4">
        <f t="array" ref="B131:H131">Días+8+DATE(Calendario10Año,Calendario10MesOpción,1)-WEEKDAY(DATE(Calendario10Año,Calendario10MesOpción,1),DíaDeLaSemanaOpción)</f>
        <v>46300</v>
      </c>
      <c r="C131" s="4">
        <v>46301</v>
      </c>
      <c r="D131" s="4">
        <v>46302</v>
      </c>
      <c r="E131" s="4">
        <v>46303</v>
      </c>
      <c r="F131" s="4">
        <v>46304</v>
      </c>
      <c r="G131" s="4">
        <v>46305</v>
      </c>
      <c r="H131" s="5">
        <v>46306</v>
      </c>
    </row>
    <row r="132" spans="2:8" ht="56.25" customHeight="1" x14ac:dyDescent="0.3">
      <c r="B132" s="52"/>
      <c r="C132" s="10"/>
      <c r="D132" s="52"/>
      <c r="E132" s="10"/>
      <c r="F132" s="52"/>
      <c r="G132" s="10"/>
      <c r="H132" s="11"/>
    </row>
    <row r="133" spans="2:8" ht="16.5" customHeight="1" x14ac:dyDescent="0.3">
      <c r="B133" s="4">
        <f t="array" ref="B133:H133">Días+15+DATE(Calendario10Año,Calendario10MesOpción,1)-WEEKDAY(DATE(Calendario10Año,Calendario10MesOpción,1),DíaDeLaSemanaOpción)</f>
        <v>46307</v>
      </c>
      <c r="C133" s="4">
        <v>46308</v>
      </c>
      <c r="D133" s="4">
        <v>46309</v>
      </c>
      <c r="E133" s="4">
        <v>46310</v>
      </c>
      <c r="F133" s="4">
        <v>46311</v>
      </c>
      <c r="G133" s="4">
        <v>46312</v>
      </c>
      <c r="H133" s="5">
        <v>46313</v>
      </c>
    </row>
    <row r="134" spans="2:8" ht="56.25" customHeight="1" x14ac:dyDescent="0.3">
      <c r="B134" s="52"/>
      <c r="C134" s="10"/>
      <c r="D134" s="52"/>
      <c r="E134" s="10"/>
      <c r="F134" s="52"/>
      <c r="G134" s="10"/>
      <c r="H134" s="11"/>
    </row>
    <row r="135" spans="2:8" ht="16.5" customHeight="1" x14ac:dyDescent="0.3">
      <c r="B135" s="4">
        <f t="array" ref="B135:H135">Días+22+DATE(Calendario10Año,Calendario10MesOpción,1)-WEEKDAY(DATE(Calendario10Año,Calendario10MesOpción,1),DíaDeLaSemanaOpción)</f>
        <v>46314</v>
      </c>
      <c r="C135" s="4">
        <v>46315</v>
      </c>
      <c r="D135" s="4">
        <v>46316</v>
      </c>
      <c r="E135" s="4">
        <v>46317</v>
      </c>
      <c r="F135" s="4">
        <v>46318</v>
      </c>
      <c r="G135" s="4">
        <v>46319</v>
      </c>
      <c r="H135" s="5">
        <v>46320</v>
      </c>
    </row>
    <row r="136" spans="2:8" ht="56.25" customHeight="1" x14ac:dyDescent="0.3">
      <c r="B136" s="52"/>
      <c r="C136" s="10"/>
      <c r="D136" s="68" t="s">
        <v>56</v>
      </c>
      <c r="E136" s="69"/>
      <c r="F136" s="52"/>
      <c r="G136" s="10"/>
      <c r="H136" s="11"/>
    </row>
    <row r="137" spans="2:8" ht="16.5" customHeight="1" x14ac:dyDescent="0.3">
      <c r="B137" s="4">
        <f t="array" ref="B137:H137">Días+29+DATE(Calendario10Año,Calendario10MesOpción,1)-WEEKDAY(DATE(Calendario10Año,Calendario10MesOpción,1),DíaDeLaSemanaOpción)</f>
        <v>46321</v>
      </c>
      <c r="C137" s="4">
        <v>46322</v>
      </c>
      <c r="D137" s="4">
        <v>46323</v>
      </c>
      <c r="E137" s="4">
        <v>46324</v>
      </c>
      <c r="F137" s="4">
        <v>46325</v>
      </c>
      <c r="G137" s="4">
        <v>46326</v>
      </c>
      <c r="H137" s="5">
        <v>46327</v>
      </c>
    </row>
    <row r="138" spans="2:8" ht="57" customHeight="1" x14ac:dyDescent="0.3">
      <c r="B138" s="52"/>
      <c r="C138" s="68" t="s">
        <v>56</v>
      </c>
      <c r="D138" s="69"/>
      <c r="E138" s="10"/>
      <c r="F138" s="52"/>
      <c r="G138" s="10"/>
      <c r="H138" s="12"/>
    </row>
    <row r="139" spans="2:8" ht="16.5" customHeight="1" x14ac:dyDescent="0.3">
      <c r="B139" s="4">
        <f t="array" ref="B139:C139">Días+36+DATE(Calendario10Año,Calendario10MesOpción,1)-WEEKDAY(DATE(Calendario10Año,Calendario10MesOpción,1),DíaDeLaSemanaOpción)</f>
        <v>46328</v>
      </c>
      <c r="C139" s="4">
        <v>46329</v>
      </c>
      <c r="D139" s="62" t="s">
        <v>1</v>
      </c>
      <c r="E139" s="63"/>
      <c r="F139" s="63"/>
      <c r="G139" s="63"/>
      <c r="H139" s="63"/>
    </row>
    <row r="140" spans="2:8" ht="63.75" customHeight="1" x14ac:dyDescent="0.3">
      <c r="B140" s="10"/>
      <c r="C140" s="10"/>
      <c r="D140" s="64"/>
      <c r="E140" s="64"/>
      <c r="F140" s="64"/>
      <c r="G140" s="64"/>
      <c r="H140" s="64"/>
    </row>
    <row r="141" spans="2:8" ht="54" customHeight="1" x14ac:dyDescent="0.7">
      <c r="B141" s="53">
        <f>YEAR(DATE(Calendario10Año,Calendario10MesOpción+1,1))</f>
        <v>2026</v>
      </c>
      <c r="C141" s="54" t="str">
        <f>TEXT(DATE(Calendario10Año,Calendario10MesOpción+1,1),"mmmm")</f>
        <v>noviembre</v>
      </c>
      <c r="D141" s="9"/>
      <c r="E141" s="9"/>
      <c r="F141" s="9"/>
      <c r="G141" s="9"/>
      <c r="H141" s="2"/>
    </row>
    <row r="142" spans="2:8" ht="14.25" customHeight="1" x14ac:dyDescent="0.3">
      <c r="B142" s="55" t="str">
        <f>UPPER(TEXT(B143,"dddd"))</f>
        <v>LUNES</v>
      </c>
      <c r="C142" s="56" t="str">
        <f t="shared" ref="C142:H142" si="10">UPPER(TEXT(C143,"dddd"))</f>
        <v>MARTES</v>
      </c>
      <c r="D142" s="55" t="str">
        <f t="shared" si="10"/>
        <v>MIÉRCOLES</v>
      </c>
      <c r="E142" s="56" t="str">
        <f t="shared" si="10"/>
        <v>JUEVES</v>
      </c>
      <c r="F142" s="55" t="str">
        <f t="shared" si="10"/>
        <v>VIERNES</v>
      </c>
      <c r="G142" s="56" t="str">
        <f t="shared" si="10"/>
        <v>SÁBADO</v>
      </c>
      <c r="H142" s="55" t="str">
        <f t="shared" si="10"/>
        <v>DOMINGO</v>
      </c>
    </row>
    <row r="143" spans="2:8" ht="16.5" customHeight="1" x14ac:dyDescent="0.3">
      <c r="B143" s="4">
        <f t="array" ref="B143:H143">Días+1+DATE(Calendario11Año,Calendario11MesOpción,1)-WEEKDAY(DATE(Calendario11Año,Calendario11MesOpción,1),DíaDeLaSemanaOpción)</f>
        <v>46321</v>
      </c>
      <c r="C143" s="4">
        <v>46322</v>
      </c>
      <c r="D143" s="4">
        <v>46323</v>
      </c>
      <c r="E143" s="4">
        <v>46324</v>
      </c>
      <c r="F143" s="4">
        <v>46325</v>
      </c>
      <c r="G143" s="4">
        <v>46326</v>
      </c>
      <c r="H143" s="5">
        <v>46327</v>
      </c>
    </row>
    <row r="144" spans="2:8" ht="56.25" customHeight="1" x14ac:dyDescent="0.3">
      <c r="B144" s="52"/>
      <c r="C144" s="10"/>
      <c r="D144" s="52"/>
      <c r="E144" s="10"/>
      <c r="F144" s="52"/>
      <c r="G144" s="10"/>
      <c r="H144" s="11"/>
    </row>
    <row r="145" spans="2:8" ht="16.5" customHeight="1" x14ac:dyDescent="0.3">
      <c r="B145" s="4">
        <f t="array" ref="B145:H145">Días+8+DATE(Calendario11Año,Calendario11MesOpción,1)-WEEKDAY(DATE(Calendario11Año,Calendario11MesOpción,1),DíaDeLaSemanaOpción)</f>
        <v>46328</v>
      </c>
      <c r="C145" s="4">
        <v>46329</v>
      </c>
      <c r="D145" s="4">
        <v>46330</v>
      </c>
      <c r="E145" s="4">
        <v>46331</v>
      </c>
      <c r="F145" s="4">
        <v>46332</v>
      </c>
      <c r="G145" s="4">
        <v>46333</v>
      </c>
      <c r="H145" s="5">
        <v>46334</v>
      </c>
    </row>
    <row r="146" spans="2:8" ht="56.25" customHeight="1" x14ac:dyDescent="0.3">
      <c r="B146" s="52"/>
      <c r="C146" s="10"/>
      <c r="D146" s="52"/>
      <c r="E146" s="10"/>
      <c r="F146" s="52"/>
      <c r="G146" s="10"/>
      <c r="H146" s="11"/>
    </row>
    <row r="147" spans="2:8" ht="16.5" customHeight="1" x14ac:dyDescent="0.3">
      <c r="B147" s="4">
        <f t="array" ref="B147:H147">Días+15+DATE(Calendario11Año,Calendario11MesOpción,1)-WEEKDAY(DATE(Calendario11Año,Calendario11MesOpción,1),DíaDeLaSemanaOpción)</f>
        <v>46335</v>
      </c>
      <c r="C147" s="4">
        <v>46336</v>
      </c>
      <c r="D147" s="4">
        <v>46337</v>
      </c>
      <c r="E147" s="4">
        <v>46338</v>
      </c>
      <c r="F147" s="4">
        <v>46339</v>
      </c>
      <c r="G147" s="4">
        <v>46340</v>
      </c>
      <c r="H147" s="5">
        <v>46341</v>
      </c>
    </row>
    <row r="148" spans="2:8" ht="56.25" customHeight="1" x14ac:dyDescent="0.3">
      <c r="B148" s="52"/>
      <c r="C148" s="10"/>
      <c r="D148" s="52"/>
      <c r="E148" s="10"/>
      <c r="F148" s="52"/>
      <c r="G148" s="10"/>
      <c r="H148" s="11"/>
    </row>
    <row r="149" spans="2:8" ht="16.5" customHeight="1" x14ac:dyDescent="0.3">
      <c r="B149" s="4">
        <f t="array" ref="B149:H149">Días+22+DATE(Calendario11Año,Calendario11MesOpción,1)-WEEKDAY(DATE(Calendario11Año,Calendario11MesOpción,1),DíaDeLaSemanaOpción)</f>
        <v>46342</v>
      </c>
      <c r="C149" s="4">
        <v>46343</v>
      </c>
      <c r="D149" s="4">
        <v>46344</v>
      </c>
      <c r="E149" s="4">
        <v>46345</v>
      </c>
      <c r="F149" s="4">
        <v>46346</v>
      </c>
      <c r="G149" s="4">
        <v>46347</v>
      </c>
      <c r="H149" s="5">
        <v>46348</v>
      </c>
    </row>
    <row r="150" spans="2:8" ht="56.25" customHeight="1" x14ac:dyDescent="0.3">
      <c r="B150" s="52"/>
      <c r="C150" s="10"/>
      <c r="D150" s="68" t="s">
        <v>57</v>
      </c>
      <c r="E150" s="69"/>
      <c r="F150" s="52"/>
      <c r="G150" s="10"/>
      <c r="H150" s="11"/>
    </row>
    <row r="151" spans="2:8" ht="16.5" customHeight="1" x14ac:dyDescent="0.3">
      <c r="B151" s="4">
        <f t="array" ref="B151:H151">Días+29+DATE(Calendario11Año,Calendario11MesOpción,1)-WEEKDAY(DATE(Calendario11Año,Calendario11MesOpción,1),DíaDeLaSemanaOpción)</f>
        <v>46349</v>
      </c>
      <c r="C151" s="4">
        <v>46350</v>
      </c>
      <c r="D151" s="4">
        <v>46351</v>
      </c>
      <c r="E151" s="4">
        <v>46352</v>
      </c>
      <c r="F151" s="4">
        <v>46353</v>
      </c>
      <c r="G151" s="4">
        <v>46354</v>
      </c>
      <c r="H151" s="5">
        <v>46355</v>
      </c>
    </row>
    <row r="152" spans="2:8" ht="57" customHeight="1" x14ac:dyDescent="0.3">
      <c r="B152" s="52"/>
      <c r="C152" s="10"/>
      <c r="D152" s="70" t="s">
        <v>58</v>
      </c>
      <c r="E152" s="71"/>
      <c r="F152" s="10"/>
      <c r="G152" s="10"/>
      <c r="H152" s="12"/>
    </row>
    <row r="153" spans="2:8" ht="16.5" customHeight="1" x14ac:dyDescent="0.3">
      <c r="B153" s="4">
        <f t="array" ref="B153:C153">Días+36+DATE(Calendario11Año,Calendario11MesOpción,1)-WEEKDAY(DATE(Calendario11Año,Calendario11MesOpción,1),DíaDeLaSemanaOpción)</f>
        <v>46356</v>
      </c>
      <c r="C153" s="4">
        <v>46357</v>
      </c>
      <c r="D153" s="62" t="s">
        <v>1</v>
      </c>
      <c r="E153" s="63"/>
      <c r="F153" s="63"/>
      <c r="G153" s="63"/>
      <c r="H153" s="63"/>
    </row>
    <row r="154" spans="2:8" ht="63.75" customHeight="1" x14ac:dyDescent="0.3">
      <c r="B154" s="10"/>
      <c r="C154" s="10"/>
      <c r="D154" s="64"/>
      <c r="E154" s="64"/>
      <c r="F154" s="64"/>
      <c r="G154" s="64"/>
      <c r="H154" s="64"/>
    </row>
    <row r="155" spans="2:8" ht="54" customHeight="1" x14ac:dyDescent="0.7">
      <c r="B155" s="1">
        <f>YEAR(DATE(Calendario11Año,Calendario11MesOpción+1,1))</f>
        <v>2026</v>
      </c>
      <c r="C155" s="6" t="str">
        <f>TEXT(DATE(Calendario11Año,Calendario11MesOpción+1,1),"mmmm")</f>
        <v>diciembre</v>
      </c>
      <c r="D155" s="9"/>
      <c r="E155" s="9"/>
      <c r="F155" s="9"/>
      <c r="G155" s="9"/>
      <c r="H155" s="2"/>
    </row>
    <row r="156" spans="2:8" ht="14.25" customHeight="1" x14ac:dyDescent="0.3">
      <c r="B156" s="7" t="str">
        <f>UPPER(TEXT(B157,"dddd"))</f>
        <v>LUNES</v>
      </c>
      <c r="C156" s="8" t="str">
        <f t="shared" ref="C156:H156" si="11">UPPER(TEXT(C157,"dddd"))</f>
        <v>MARTES</v>
      </c>
      <c r="D156" s="7" t="str">
        <f t="shared" si="11"/>
        <v>MIÉRCOLES</v>
      </c>
      <c r="E156" s="8" t="str">
        <f t="shared" si="11"/>
        <v>JUEVES</v>
      </c>
      <c r="F156" s="7" t="str">
        <f t="shared" si="11"/>
        <v>VIERNES</v>
      </c>
      <c r="G156" s="8" t="str">
        <f t="shared" si="11"/>
        <v>SÁBADO</v>
      </c>
      <c r="H156" s="7" t="str">
        <f t="shared" si="11"/>
        <v>DOMINGO</v>
      </c>
    </row>
    <row r="157" spans="2:8" ht="16.5" customHeight="1" x14ac:dyDescent="0.3">
      <c r="B157" s="4">
        <f t="array" ref="B157:H157">Días+1+DATE(Calendario12Año,Calendario12MesOpción,1)-WEEKDAY(DATE(Calendario12Año,Calendario12MesOpción,1),DíaDeLaSemanaOpción)</f>
        <v>46356</v>
      </c>
      <c r="C157" s="4">
        <v>46357</v>
      </c>
      <c r="D157" s="4">
        <v>46358</v>
      </c>
      <c r="E157" s="4">
        <v>46359</v>
      </c>
      <c r="F157" s="4">
        <v>46360</v>
      </c>
      <c r="G157" s="4">
        <v>46361</v>
      </c>
      <c r="H157" s="5">
        <v>46362</v>
      </c>
    </row>
    <row r="158" spans="2:8" ht="56.25" customHeight="1" x14ac:dyDescent="0.3">
      <c r="B158" s="13"/>
      <c r="C158" s="10"/>
      <c r="D158" s="13"/>
      <c r="E158" s="10"/>
      <c r="F158" s="13"/>
      <c r="G158" s="10"/>
      <c r="H158" s="11"/>
    </row>
    <row r="159" spans="2:8" ht="16.5" customHeight="1" x14ac:dyDescent="0.3">
      <c r="B159" s="4">
        <f t="array" ref="B159:H159">Días+8+DATE(Calendario12Año,Calendario12MesOpción,1)-WEEKDAY(DATE(Calendario12Año,Calendario12MesOpción,1),DíaDeLaSemanaOpción)</f>
        <v>46363</v>
      </c>
      <c r="C159" s="4">
        <v>46364</v>
      </c>
      <c r="D159" s="4">
        <v>46365</v>
      </c>
      <c r="E159" s="4">
        <v>46366</v>
      </c>
      <c r="F159" s="4">
        <v>46367</v>
      </c>
      <c r="G159" s="4">
        <v>46368</v>
      </c>
      <c r="H159" s="5">
        <v>46369</v>
      </c>
    </row>
    <row r="160" spans="2:8" ht="56.25" customHeight="1" x14ac:dyDescent="0.3">
      <c r="B160" s="13"/>
      <c r="C160" s="10"/>
      <c r="D160" s="13"/>
      <c r="E160" s="10"/>
      <c r="F160" s="13"/>
      <c r="G160" s="10"/>
      <c r="H160" s="11"/>
    </row>
    <row r="161" spans="2:8" ht="16.5" customHeight="1" x14ac:dyDescent="0.3">
      <c r="B161" s="4">
        <f t="array" ref="B161:H161">Días+15+DATE(Calendario12Año,Calendario12MesOpción,1)-WEEKDAY(DATE(Calendario12Año,Calendario12MesOpción,1),DíaDeLaSemanaOpción)</f>
        <v>46370</v>
      </c>
      <c r="C161" s="4">
        <v>46371</v>
      </c>
      <c r="D161" s="4">
        <v>46372</v>
      </c>
      <c r="E161" s="4">
        <v>46373</v>
      </c>
      <c r="F161" s="4">
        <v>46374</v>
      </c>
      <c r="G161" s="4">
        <v>46375</v>
      </c>
      <c r="H161" s="5">
        <v>46376</v>
      </c>
    </row>
    <row r="162" spans="2:8" ht="56.25" customHeight="1" x14ac:dyDescent="0.3">
      <c r="B162" s="13"/>
      <c r="C162" s="52"/>
      <c r="D162" s="13"/>
      <c r="E162" s="10"/>
      <c r="F162" s="13"/>
      <c r="G162" s="10"/>
      <c r="H162" s="11"/>
    </row>
    <row r="163" spans="2:8" ht="16.5" customHeight="1" x14ac:dyDescent="0.3">
      <c r="B163" s="4">
        <f t="array" ref="B163:H163">Días+22+DATE(Calendario12Año,Calendario12MesOpción,1)-WEEKDAY(DATE(Calendario12Año,Calendario12MesOpción,1),DíaDeLaSemanaOpción)</f>
        <v>46377</v>
      </c>
      <c r="C163" s="4">
        <v>46378</v>
      </c>
      <c r="D163" s="4">
        <v>46379</v>
      </c>
      <c r="E163" s="4">
        <v>46380</v>
      </c>
      <c r="F163" s="4">
        <v>46381</v>
      </c>
      <c r="G163" s="4">
        <v>46382</v>
      </c>
      <c r="H163" s="5">
        <v>46383</v>
      </c>
    </row>
    <row r="164" spans="2:8" ht="56.25" customHeight="1" x14ac:dyDescent="0.3">
      <c r="B164" s="13"/>
      <c r="C164" s="10"/>
      <c r="D164" s="13"/>
      <c r="E164" s="10"/>
      <c r="F164" s="13"/>
      <c r="G164" s="10"/>
      <c r="H164" s="11"/>
    </row>
    <row r="165" spans="2:8" ht="16.5" customHeight="1" x14ac:dyDescent="0.3">
      <c r="B165" s="4">
        <f t="array" ref="B165:H165">Días+29+DATE(Calendario12Año,Calendario12MesOpción,1)-WEEKDAY(DATE(Calendario12Año,Calendario12MesOpción,1),DíaDeLaSemanaOpción)</f>
        <v>46384</v>
      </c>
      <c r="C165" s="4">
        <v>46385</v>
      </c>
      <c r="D165" s="4">
        <v>46386</v>
      </c>
      <c r="E165" s="4">
        <v>46387</v>
      </c>
      <c r="F165" s="4">
        <v>46388</v>
      </c>
      <c r="G165" s="4">
        <v>46389</v>
      </c>
      <c r="H165" s="5">
        <v>46390</v>
      </c>
    </row>
    <row r="166" spans="2:8" ht="57" customHeight="1" x14ac:dyDescent="0.3">
      <c r="B166" s="13"/>
      <c r="C166" s="10"/>
      <c r="D166" s="13"/>
      <c r="E166" s="10"/>
      <c r="F166" s="13"/>
      <c r="G166" s="10"/>
      <c r="H166" s="12"/>
    </row>
    <row r="167" spans="2:8" ht="16.5" customHeight="1" x14ac:dyDescent="0.3">
      <c r="B167" s="4">
        <f t="array" ref="B167:C167">Días+36+DATE(Calendario12Año,Calendario12MesOpción,1)-WEEKDAY(DATE(Calendario12Año,Calendario12MesOpción,1),DíaDeLaSemanaOpción)</f>
        <v>46391</v>
      </c>
      <c r="C167" s="4">
        <v>46392</v>
      </c>
      <c r="D167" s="62" t="s">
        <v>1</v>
      </c>
      <c r="E167" s="63"/>
      <c r="F167" s="63"/>
      <c r="G167" s="63"/>
      <c r="H167" s="63"/>
    </row>
    <row r="168" spans="2:8" ht="63.75" customHeight="1" x14ac:dyDescent="0.3">
      <c r="B168" s="10"/>
      <c r="C168" s="10"/>
      <c r="D168" s="64"/>
      <c r="E168" s="64"/>
      <c r="F168" s="64"/>
      <c r="G168" s="64"/>
      <c r="H168" s="64"/>
    </row>
  </sheetData>
  <mergeCells count="28">
    <mergeCell ref="D168:H168"/>
    <mergeCell ref="D97:H97"/>
    <mergeCell ref="D98:H98"/>
    <mergeCell ref="D111:H111"/>
    <mergeCell ref="D112:H112"/>
    <mergeCell ref="D125:H125"/>
    <mergeCell ref="D126:H126"/>
    <mergeCell ref="D139:H139"/>
    <mergeCell ref="D140:H140"/>
    <mergeCell ref="D153:H153"/>
    <mergeCell ref="D154:H154"/>
    <mergeCell ref="D167:H167"/>
    <mergeCell ref="D136:E136"/>
    <mergeCell ref="D150:E150"/>
    <mergeCell ref="D152:E152"/>
    <mergeCell ref="C138:D138"/>
    <mergeCell ref="D84:H84"/>
    <mergeCell ref="D13:H13"/>
    <mergeCell ref="D14:H14"/>
    <mergeCell ref="D27:H27"/>
    <mergeCell ref="D28:H28"/>
    <mergeCell ref="D41:H41"/>
    <mergeCell ref="D42:H42"/>
    <mergeCell ref="D55:H55"/>
    <mergeCell ref="D56:H56"/>
    <mergeCell ref="D69:H69"/>
    <mergeCell ref="D70:H70"/>
    <mergeCell ref="D83:H83"/>
  </mergeCells>
  <conditionalFormatting sqref="B3:H3 B5:H5 B7:H7 B9:H9 B11:H11 B13:C13">
    <cfRule type="expression" dxfId="11" priority="12">
      <formula>MONTH(B3)&lt;&gt;Calendario1MesOpción</formula>
    </cfRule>
  </conditionalFormatting>
  <conditionalFormatting sqref="B17:H17 B19:H19 B21:H21 B23:H23 B25:H25 B27:C27">
    <cfRule type="expression" dxfId="10" priority="11">
      <formula>MONTH(B17)&lt;&gt;Calendario2MesOpción</formula>
    </cfRule>
  </conditionalFormatting>
  <conditionalFormatting sqref="B31:H31 B33:H33 B35:H35 B37:H37 B39:H39 B41:C41">
    <cfRule type="expression" dxfId="9" priority="10">
      <formula>MONTH(B31)&lt;&gt;Calendario3MesOpción</formula>
    </cfRule>
  </conditionalFormatting>
  <conditionalFormatting sqref="B45:H45 B47:H47 B49:H49 B51:H51 B53:H53 B55:C55">
    <cfRule type="expression" dxfId="8" priority="9">
      <formula>MONTH(B45)&lt;&gt;Calendario4MesOpción</formula>
    </cfRule>
  </conditionalFormatting>
  <conditionalFormatting sqref="B59:H59 B61:H61 B63:H63 B65:H65 B67:H67 B69:C69">
    <cfRule type="expression" dxfId="7" priority="8">
      <formula>MONTH(B59)&lt;&gt;Calendario5MesOpción</formula>
    </cfRule>
  </conditionalFormatting>
  <conditionalFormatting sqref="B73:H73 B75:H75 B77:H77 B79:H79 B81:H81 B83:C83">
    <cfRule type="expression" dxfId="6" priority="7">
      <formula>MONTH(B73)&lt;&gt;Calendario6MesOpción</formula>
    </cfRule>
  </conditionalFormatting>
  <conditionalFormatting sqref="B87:H87 B89:H89 B91:H91 B93:H93 B95:H95 B97:C97">
    <cfRule type="expression" dxfId="5" priority="6">
      <formula>MONTH(B87)&lt;&gt;Calendario7MesOpción</formula>
    </cfRule>
  </conditionalFormatting>
  <conditionalFormatting sqref="B101:H101 B103:H103 B105:H105 B107:H107 B109:H109 B111:C111">
    <cfRule type="expression" dxfId="4" priority="5">
      <formula>MONTH(B101)&lt;&gt;Calendario8MesOpción</formula>
    </cfRule>
  </conditionalFormatting>
  <conditionalFormatting sqref="B115:H115 B117:H117 B119:H119 B121:H121 B123:H123 B125:C125">
    <cfRule type="expression" dxfId="3" priority="4">
      <formula>MONTH(B115)&lt;&gt;Calendario9MesOpción</formula>
    </cfRule>
  </conditionalFormatting>
  <conditionalFormatting sqref="B129:H129 B131:H131 B133:H133 B135:H135 B137:H137 B139:C139">
    <cfRule type="expression" dxfId="2" priority="3">
      <formula>MONTH(B129)&lt;&gt;Calendario10MesOpción</formula>
    </cfRule>
  </conditionalFormatting>
  <conditionalFormatting sqref="B143:H143 B145:H145 B147:H147 B149:H149 B151:H151 B153:C153">
    <cfRule type="expression" dxfId="1" priority="2">
      <formula>MONTH(B143)&lt;&gt;Calendario11MesOpción</formula>
    </cfRule>
  </conditionalFormatting>
  <conditionalFormatting sqref="B157:H157 B159:H159 B161:H161 B163:H163 B165:H165 B167:C167">
    <cfRule type="expression" dxfId="0" priority="1">
      <formula>MONTH(B157)&lt;&gt;Calendario12MesOpción</formula>
    </cfRule>
  </conditionalFormatting>
  <dataValidations count="11">
    <dataValidation allowBlank="1" showInputMessage="1" prompt="Fecha" sqref="B3" xr:uid="{00000000-0002-0000-0300-000000000000}"/>
    <dataValidation allowBlank="1" showInputMessage="1" prompt="Desplazamiento de mes natural según el mes seleccionado en la celda C1" sqref="C15" xr:uid="{00000000-0002-0000-0300-000001000000}"/>
    <dataValidation allowBlank="1" showInputMessage="1" prompt="El año natural se determina automáticamente por el año especificado en la celda B1" sqref="B15" xr:uid="{00000000-0002-0000-0300-000002000000}"/>
    <dataValidation allowBlank="1" showInputMessage="1" prompt="Escriba aquí las notas del día." sqref="B4" xr:uid="{00000000-0002-0000-0300-000003000000}"/>
    <dataValidation allowBlank="1" showInputMessage="1" prompt="Título de notas del mes" sqref="D13" xr:uid="{00000000-0002-0000-0300-000004000000}"/>
    <dataValidation allowBlank="1" showInputMessage="1" prompt="Escriba aquí las notas del mes." sqref="D14" xr:uid="{00000000-0002-0000-0300-000005000000}"/>
    <dataValidation allowBlank="1" showInputMessage="1" prompt="El día de la semana se determinará automáticamente. Para cambiar los días de la semana, seleccione un nuevo día de la semana de inicio en la celda B2." sqref="C2:H2 B16" xr:uid="{00000000-0002-0000-0300-000006000000}"/>
    <dataValidation allowBlank="1" showInputMessage="1" showErrorMessage="1" prompt="Escriba el año para este calendario." sqref="B1" xr:uid="{00000000-0002-0000-0300-000007000000}"/>
    <dataValidation allowBlank="1" showInputMessage="1" prompt="Este libro es un calendario de 12 meses. Escriba el año de inicio en la celda B1 y, después, seleccione el mes de inicio en la celda C1. El calendario se actualizará automáticamente para los meses posteriores." sqref="A1" xr:uid="{00000000-0002-0000-0300-000008000000}"/>
    <dataValidation type="list" allowBlank="1" showInputMessage="1" showErrorMessage="1" error="Seleccione un mes de las entradas de la lista. Seleccione CANCELAR y, después, ALT+FLECHA ABAJO para elegirlo en la lista desplegable." prompt="Seleccione el mes de inicio del calendario de la lista desplegable. Presione ALT+FLECHA ABAJO para abrir la lista desplegable y, después, presione ENTRAR para elegir uno de los elementos." sqref="C1" xr:uid="{00000000-0002-0000-0300-000009000000}">
      <formula1>"enero, febrero, marzo, abril, mayo, junio, julio, agosto, septiembre, octubre, noviembre, diciembre"</formula1>
    </dataValidation>
    <dataValidation type="list" allowBlank="1" showInputMessage="1" showErrorMessage="1" error="Solo los días de la lista desplegable se pueden usar para los encabezados de día de la semana. Para seleccionar un día de la semana distinto, seleccione CANCELAR y, después, ALT+FLECHA ABAJO para elegirlo en la lista desplegable." prompt="Seleccione el día de la semana de inicio en la lista desplegable. Presione ALT+FLECHA ABAJO para abrir la lista desplegable y, después, presione ENTRAR para seleccionar un día. El calendario se actualizará automáticamente." sqref="B2" xr:uid="{00000000-0002-0000-0300-00000A000000}">
      <formula1>"DOMINGO, LUNES, MARTES, MIÉRCOLES, JUEVES, VIERNES, SÁBADO"</formula1>
    </dataValidation>
  </dataValidations>
  <printOptions horizontalCentered="1" verticalCentered="1"/>
  <pageMargins left="0.25" right="0.25" top="0.45" bottom="0.45" header="0.5" footer="0.5"/>
  <pageSetup paperSize="9" fitToHeight="0" orientation="landscape" r:id="rId1"/>
  <headerFooter alignWithMargins="0"/>
  <rowBreaks count="11" manualBreakCount="11">
    <brk id="14" min="1" max="8" man="1"/>
    <brk id="28" min="1" max="8" man="1"/>
    <brk id="42" min="1" max="8" man="1"/>
    <brk id="56" min="1" max="8" man="1"/>
    <brk id="70" min="1" max="8" man="1"/>
    <brk id="84" min="1" max="8" man="1"/>
    <brk id="98" min="1" max="8" man="1"/>
    <brk id="112" min="1" max="8" man="1"/>
    <brk id="126" min="1" max="8" man="1"/>
    <brk id="140" min="1" max="8" man="1"/>
    <brk id="154" min="1"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79</vt:i4>
      </vt:variant>
    </vt:vector>
  </HeadingPairs>
  <TitlesOfParts>
    <vt:vector size="83" baseType="lpstr">
      <vt:lpstr>Calendario</vt:lpstr>
      <vt:lpstr>Calendario Detallado</vt:lpstr>
      <vt:lpstr>Calendario Detallado 2020</vt:lpstr>
      <vt:lpstr>Calendario Detallado 2026</vt:lpstr>
      <vt:lpstr>Calendario!Área_de_impresión</vt:lpstr>
      <vt:lpstr>'Calendario Detallado'!Área_de_impresión</vt:lpstr>
      <vt:lpstr>'Calendario Detallado 2020'!Área_de_impresión</vt:lpstr>
      <vt:lpstr>'Calendario Detallado 2026'!Área_de_impresión</vt:lpstr>
      <vt:lpstr>'Calendario Detallado 2020'!Calendario10Año</vt:lpstr>
      <vt:lpstr>'Calendario Detallado 2026'!Calendario10Año</vt:lpstr>
      <vt:lpstr>Calendario10Año</vt:lpstr>
      <vt:lpstr>'Calendario Detallado 2020'!Calendario10Mes</vt:lpstr>
      <vt:lpstr>'Calendario Detallado 2026'!Calendario10Mes</vt:lpstr>
      <vt:lpstr>Calendario10Mes</vt:lpstr>
      <vt:lpstr>'Calendario Detallado 2020'!Calendario11Año</vt:lpstr>
      <vt:lpstr>'Calendario Detallado 2026'!Calendario11Año</vt:lpstr>
      <vt:lpstr>Calendario11Año</vt:lpstr>
      <vt:lpstr>'Calendario Detallado 2020'!Calendario11Mes</vt:lpstr>
      <vt:lpstr>'Calendario Detallado 2026'!Calendario11Mes</vt:lpstr>
      <vt:lpstr>Calendario11Mes</vt:lpstr>
      <vt:lpstr>'Calendario Detallado 2020'!Calendario12Año</vt:lpstr>
      <vt:lpstr>'Calendario Detallado 2026'!Calendario12Año</vt:lpstr>
      <vt:lpstr>Calendario12Año</vt:lpstr>
      <vt:lpstr>'Calendario Detallado 2020'!Calendario12Mes</vt:lpstr>
      <vt:lpstr>'Calendario Detallado 2026'!Calendario12Mes</vt:lpstr>
      <vt:lpstr>Calendario12Mes</vt:lpstr>
      <vt:lpstr>'Calendario Detallado 2020'!Calendario1Año</vt:lpstr>
      <vt:lpstr>'Calendario Detallado 2026'!Calendario1Año</vt:lpstr>
      <vt:lpstr>Calendario1Año</vt:lpstr>
      <vt:lpstr>'Calendario Detallado 2020'!Calendario1Mes</vt:lpstr>
      <vt:lpstr>'Calendario Detallado 2026'!Calendario1Mes</vt:lpstr>
      <vt:lpstr>Calendario1Mes</vt:lpstr>
      <vt:lpstr>'Calendario Detallado 2020'!Calendario2Año</vt:lpstr>
      <vt:lpstr>'Calendario Detallado 2026'!Calendario2Año</vt:lpstr>
      <vt:lpstr>Calendario2Año</vt:lpstr>
      <vt:lpstr>'Calendario Detallado 2020'!Calendario2Mes</vt:lpstr>
      <vt:lpstr>'Calendario Detallado 2026'!Calendario2Mes</vt:lpstr>
      <vt:lpstr>Calendario2Mes</vt:lpstr>
      <vt:lpstr>'Calendario Detallado 2020'!Calendario3Año</vt:lpstr>
      <vt:lpstr>'Calendario Detallado 2026'!Calendario3Año</vt:lpstr>
      <vt:lpstr>Calendario3Año</vt:lpstr>
      <vt:lpstr>'Calendario Detallado 2020'!Calendario3Mes</vt:lpstr>
      <vt:lpstr>'Calendario Detallado 2026'!Calendario3Mes</vt:lpstr>
      <vt:lpstr>Calendario3Mes</vt:lpstr>
      <vt:lpstr>'Calendario Detallado 2020'!Calendario4Año</vt:lpstr>
      <vt:lpstr>'Calendario Detallado 2026'!Calendario4Año</vt:lpstr>
      <vt:lpstr>Calendario4Año</vt:lpstr>
      <vt:lpstr>'Calendario Detallado 2020'!Calendario4Mes</vt:lpstr>
      <vt:lpstr>'Calendario Detallado 2026'!Calendario4Mes</vt:lpstr>
      <vt:lpstr>Calendario4Mes</vt:lpstr>
      <vt:lpstr>'Calendario Detallado 2020'!Calendario5Año</vt:lpstr>
      <vt:lpstr>'Calendario Detallado 2026'!Calendario5Año</vt:lpstr>
      <vt:lpstr>Calendario5Año</vt:lpstr>
      <vt:lpstr>'Calendario Detallado 2020'!Calendario5Mes</vt:lpstr>
      <vt:lpstr>'Calendario Detallado 2026'!Calendario5Mes</vt:lpstr>
      <vt:lpstr>Calendario5Mes</vt:lpstr>
      <vt:lpstr>'Calendario Detallado 2020'!Calendario6Año</vt:lpstr>
      <vt:lpstr>'Calendario Detallado 2026'!Calendario6Año</vt:lpstr>
      <vt:lpstr>Calendario6Año</vt:lpstr>
      <vt:lpstr>'Calendario Detallado 2020'!Calendario6Mes</vt:lpstr>
      <vt:lpstr>'Calendario Detallado 2026'!Calendario6Mes</vt:lpstr>
      <vt:lpstr>Calendario6Mes</vt:lpstr>
      <vt:lpstr>'Calendario Detallado 2020'!Calendario7Año</vt:lpstr>
      <vt:lpstr>'Calendario Detallado 2026'!Calendario7Año</vt:lpstr>
      <vt:lpstr>Calendario7Año</vt:lpstr>
      <vt:lpstr>'Calendario Detallado 2020'!Calendario7Mes</vt:lpstr>
      <vt:lpstr>'Calendario Detallado 2026'!Calendario7Mes</vt:lpstr>
      <vt:lpstr>Calendario7Mes</vt:lpstr>
      <vt:lpstr>'Calendario Detallado 2020'!Calendario8Año</vt:lpstr>
      <vt:lpstr>'Calendario Detallado 2026'!Calendario8Año</vt:lpstr>
      <vt:lpstr>Calendario8Año</vt:lpstr>
      <vt:lpstr>'Calendario Detallado 2020'!Calendario8Mes</vt:lpstr>
      <vt:lpstr>'Calendario Detallado 2026'!Calendario8Mes</vt:lpstr>
      <vt:lpstr>Calendario8Mes</vt:lpstr>
      <vt:lpstr>'Calendario Detallado 2020'!Calendario9Año</vt:lpstr>
      <vt:lpstr>'Calendario Detallado 2026'!Calendario9Año</vt:lpstr>
      <vt:lpstr>Calendario9Año</vt:lpstr>
      <vt:lpstr>'Calendario Detallado 2020'!Calendario9Mes</vt:lpstr>
      <vt:lpstr>'Calendario Detallado 2026'!Calendario9Mes</vt:lpstr>
      <vt:lpstr>Calendario9Mes</vt:lpstr>
      <vt:lpstr>'Calendario Detallado 2020'!InicioDeSemana</vt:lpstr>
      <vt:lpstr>'Calendario Detallado 2026'!InicioDeSemana</vt:lpstr>
      <vt:lpstr>InicioDeSemana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Windows</dc:creator>
  <cp:lastModifiedBy>Miguel Trinidad Gómez Hernandez</cp:lastModifiedBy>
  <cp:lastPrinted>2026-10-07T23:26:39Z</cp:lastPrinted>
  <dcterms:created xsi:type="dcterms:W3CDTF">2016-07-26T15:53:57Z</dcterms:created>
  <dcterms:modified xsi:type="dcterms:W3CDTF">2026-10-23T00:05:26Z</dcterms:modified>
</cp:coreProperties>
</file>